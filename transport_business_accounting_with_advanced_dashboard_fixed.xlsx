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  <sheet name="Monthly Summary" sheetId="2" state="visible" r:id="rId2"/>
    <sheet name="Yearly 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i val="1"/>
      <color rgb="007F7F7F"/>
    </font>
    <font>
      <b val="1"/>
    </font>
    <font>
      <b val="1"/>
      <color rgb="001F4E78"/>
      <sz val="16"/>
    </font>
    <font>
      <i val="1"/>
      <color rgb="0066666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7" borderId="1" pivotButton="0" quotePrefix="0" xfId="0"/>
    <xf numFmtId="0" fontId="3" fillId="0" borderId="0" pivotButton="0" quotePrefix="0" xfId="0"/>
    <xf numFmtId="0" fontId="0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color rgb="00FFFFFF"/>
      </font>
      <fill>
        <patternFill patternType="solid">
          <fgColor rgb="001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Summary'!$E$2:$E$13</f>
            </numRef>
          </val>
        </ser>
        <ser>
          <idx val="1"/>
          <order val="1"/>
          <tx>
            <strRef>
              <f>'Monthly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Summary'!H1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Summary'!$H$2:$H$13</f>
            </numRef>
          </val>
        </ser>
        <ser>
          <idx val="1"/>
          <order val="1"/>
          <tx>
            <strRef>
              <f>'Monthly Summary'!I1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Yearly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Summary'!F1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Summary'!$F$2:$F$11</f>
            </numRef>
          </val>
        </ser>
        <ser>
          <idx val="1"/>
          <order val="1"/>
          <tx>
            <strRef>
              <f>'Yearly Summary'!G1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Yearly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'Yearly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Summary'!$C$2:$C$11</f>
            </numRef>
          </val>
        </ser>
        <ser>
          <idx val="1"/>
          <order val="1"/>
          <tx>
            <strRef>
              <f>'Yearly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5 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'Dashboard'!S1</f>
            </strRef>
          </tx>
          <spPr>
            <a:ln>
              <a:prstDash val="solid"/>
            </a:ln>
          </spPr>
          <cat>
            <numRef>
              <f>'Dashboard'!$R$2:$R$6</f>
            </numRef>
          </cat>
          <val>
            <numRef>
              <f>'Dashboard'!$S$2:$S$6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5 Non-Profitable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</f>
            </strRef>
          </tx>
          <spPr>
            <a:ln>
              <a:prstDash val="solid"/>
            </a:ln>
          </spPr>
          <cat>
            <numRef>
              <f>'Dashboard'!$T$2:$T$6</f>
            </numRef>
          </cat>
          <val>
            <numRef>
              <f>'Dashboard'!$U$2:$U$6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36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RouteRecordTable" displayName="DailyRouteRecordTable" ref="A1:V2" headerRowCount="1">
  <autoFilter ref="A1:V2"/>
  <tableColumns count="22">
    <tableColumn id="1" name="Departure Date"/>
    <tableColumn id="2" name="Return Date"/>
    <tableColumn id="3" name="Trip Days"/>
    <tableColumn id="4" name="Route"/>
    <tableColumn id="5" name="Diesel Expense"/>
    <tableColumn id="6" name="Oil Expense"/>
    <tableColumn id="7" name="Ration / Food Expense"/>
    <tableColumn id="8" name="Mobile Expense"/>
    <tableColumn id="9" name="Misc Expense"/>
    <tableColumn id="10" name="Driver Salary"/>
    <tableColumn id="11" name="Garage Expense"/>
    <tableColumn id="12" name="Service Expense"/>
    <tableColumn id="13" name="Total Expenses"/>
    <tableColumn id="14" name="Income 1"/>
    <tableColumn id="15" name="Income 2"/>
    <tableColumn id="16" name="Income 3"/>
    <tableColumn id="17" name="Income 4"/>
    <tableColumn id="18" name="Total Income"/>
    <tableColumn id="19" name="Additional Expense Detail"/>
    <tableColumn id="20" name="Additional Expense Amount"/>
    <tableColumn id="21" name="Profit"/>
    <tableColumn id="22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width="18" customWidth="1" min="20" max="20"/>
    <col width="14" customWidth="1" min="21" max="21"/>
    <col width="14" customWidth="1" min="22" max="22"/>
  </cols>
  <sheetData>
    <row r="1" ht="28" customHeight="1">
      <c r="A1" s="1" t="inlineStr">
        <is>
          <t>Departure Date</t>
        </is>
      </c>
      <c r="B1" s="1" t="inlineStr">
        <is>
          <t>Return Date</t>
        </is>
      </c>
      <c r="C1" s="1" t="inlineStr">
        <is>
          <t>Trip Days</t>
        </is>
      </c>
      <c r="D1" s="2" t="inlineStr">
        <is>
          <t>Route</t>
        </is>
      </c>
      <c r="E1" s="3" t="inlineStr">
        <is>
          <t>Diesel Expense</t>
        </is>
      </c>
      <c r="F1" s="3" t="inlineStr">
        <is>
          <t>Oil Expense</t>
        </is>
      </c>
      <c r="G1" s="3" t="inlineStr">
        <is>
          <t>Ration / Food Expense</t>
        </is>
      </c>
      <c r="H1" s="3" t="inlineStr">
        <is>
          <t>Mobile Expense</t>
        </is>
      </c>
      <c r="I1" s="3" t="inlineStr">
        <is>
          <t>Misc Expense</t>
        </is>
      </c>
      <c r="J1" s="3" t="inlineStr">
        <is>
          <t>Driver Salary</t>
        </is>
      </c>
      <c r="K1" s="3" t="inlineStr">
        <is>
          <t>Garage Expense</t>
        </is>
      </c>
      <c r="L1" s="3" t="inlineStr">
        <is>
          <t>Service Expense</t>
        </is>
      </c>
      <c r="M1" s="4" t="inlineStr">
        <is>
          <t>Total Expenses</t>
        </is>
      </c>
      <c r="N1" s="5" t="inlineStr">
        <is>
          <t>Income 1</t>
        </is>
      </c>
      <c r="O1" s="5" t="inlineStr">
        <is>
          <t>Income 2</t>
        </is>
      </c>
      <c r="P1" s="5" t="inlineStr">
        <is>
          <t>Income 3</t>
        </is>
      </c>
      <c r="Q1" s="5" t="inlineStr">
        <is>
          <t>Income 4</t>
        </is>
      </c>
      <c r="R1" s="4" t="inlineStr">
        <is>
          <t>Total Income</t>
        </is>
      </c>
      <c r="S1" s="6" t="inlineStr">
        <is>
          <t>Additional Expense Detail</t>
        </is>
      </c>
      <c r="T1" s="6" t="inlineStr">
        <is>
          <t>Additional Expense Amount</t>
        </is>
      </c>
      <c r="U1" s="5" t="inlineStr">
        <is>
          <t>Profit</t>
        </is>
      </c>
      <c r="V1" s="3" t="inlineStr">
        <is>
          <t>Loss</t>
        </is>
      </c>
    </row>
    <row r="2" ht="22" customHeight="1">
      <c r="A2" s="7" t="n"/>
      <c r="B2" s="7" t="n"/>
      <c r="C2" s="8">
        <f>IF(AND(A2&lt;&gt;"",B2&lt;&gt;""),IFERROR((IF(ISNUMBER(B2),B2,DATE(VALUE(RIGHT(B2,LEN(B2)-FIND("/",B2,FIND("/",B2)+1))),VALUE(MID(B2,FIND("/",B2)+1,FIND("/",B2,FIND("/",B2)+1)-FIND("/",B2)-1)),VALUE(LEFT(B2,FIND("/",B2)-1)))))-(IF(ISNUMBER(A2),A2,DATE(VALUE(RIGHT(A2,LEN(A2)-FIND("/",A2,FIND("/",A2)+1))),VALUE(MID(A2,FIND("/",A2)+1,FIND("/",A2,FIND("/",A2)+1)-FIND("/",A2)-1)),VALUE(LEFT(A2,FIND("/",A2)-1))))),""),"")</f>
        <v/>
      </c>
      <c r="D2" s="9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>
        <f>SUM(E2:L2)</f>
        <v/>
      </c>
      <c r="N2" s="10" t="n"/>
      <c r="O2" s="10" t="n"/>
      <c r="P2" s="10" t="n"/>
      <c r="Q2" s="10" t="n"/>
      <c r="R2" s="10">
        <f>SUM(N2:Q2)</f>
        <v/>
      </c>
      <c r="S2" s="11" t="n"/>
      <c r="T2" s="10" t="n"/>
      <c r="U2" s="10">
        <f>MAX(R2-(M2+T2),0)</f>
        <v/>
      </c>
      <c r="V2" s="10">
        <f>MAX((M2+T2)-R2,0)</f>
        <v/>
      </c>
    </row>
    <row r="3">
      <c r="A3" s="12" t="inlineStr">
        <is>
          <t>Type date as dd/mm/yyyy</t>
        </is>
      </c>
      <c r="B3" s="12" t="inlineStr">
        <is>
          <t>Type date as dd/mm/yyyy</t>
        </is>
      </c>
    </row>
  </sheetData>
  <conditionalFormatting sqref="U2:U1048576">
    <cfRule type="cellIs" priority="1" operator="greaterThan" dxfId="0">
      <formula>0</formula>
    </cfRule>
  </conditionalFormatting>
  <conditionalFormatting sqref="V2:V1048576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13" t="inlineStr">
        <is>
          <t>Year</t>
        </is>
      </c>
      <c r="B1" s="13" t="inlineStr">
        <is>
          <t>Month No</t>
        </is>
      </c>
      <c r="C1" s="13" t="inlineStr">
        <is>
          <t>Month Name</t>
        </is>
      </c>
      <c r="D1" s="13" t="inlineStr">
        <is>
          <t>Trips</t>
        </is>
      </c>
      <c r="E1" s="13" t="inlineStr">
        <is>
          <t>Total Expenses</t>
        </is>
      </c>
      <c r="F1" s="13" t="inlineStr">
        <is>
          <t>Total Income</t>
        </is>
      </c>
      <c r="G1" s="13" t="inlineStr">
        <is>
          <t>Additional Expenses</t>
        </is>
      </c>
      <c r="H1" s="13" t="inlineStr">
        <is>
          <t>Profit</t>
        </is>
      </c>
      <c r="I1" s="13" t="inlineStr">
        <is>
          <t>Loss</t>
        </is>
      </c>
    </row>
    <row r="2">
      <c r="A2" s="14">
        <f>YEAR(TODAY())</f>
        <v/>
      </c>
      <c r="B2" s="14" t="n">
        <v>1</v>
      </c>
      <c r="C2" s="14">
        <f>TEXT(DATE(A2,B2,1),"mmmm")</f>
        <v/>
      </c>
      <c r="D2" s="14">
        <f>SUMPRODUCT((IFERROR(--RIGHT(DailyRouteRecordTable[Departure Date],4),0)=A2)*(IFERROR(--MID(DailyRouteRecordTable[Departure Date],4,2),0)=B2))</f>
        <v/>
      </c>
      <c r="E2" s="10">
        <f>SUMPRODUCT((IFERROR(--RIGHT(DailyRouteRecordTable[Departure Date],4),0)=A2)*(IFERROR(--MID(DailyRouteRecordTable[Departure Date],4,2),0)=B2)*N(DailyRouteRecordTable[Total Expenses]))</f>
        <v/>
      </c>
      <c r="F2" s="10">
        <f>SUMPRODUCT((IFERROR(--RIGHT(DailyRouteRecordTable[Departure Date],4),0)=A2)*(IFERROR(--MID(DailyRouteRecordTable[Departure Date],4,2),0)=B2)*N(DailyRouteRecordTable[Total Income]))</f>
        <v/>
      </c>
      <c r="G2" s="10">
        <f>SUMPRODUCT((IFERROR(--RIGHT(DailyRouteRecordTable[Departure Date],4),0)=A2)*(IFERROR(--MID(DailyRouteRecordTable[Departure Date],4,2),0)=B2)*N(DailyRouteRecordTable[Additional Expense Amount]))</f>
        <v/>
      </c>
      <c r="H2" s="10">
        <f>MAX(F2-(E2+G2),0)</f>
        <v/>
      </c>
      <c r="I2" s="10">
        <f>MAX((E2+G2)-F2,0)</f>
        <v/>
      </c>
    </row>
    <row r="3">
      <c r="A3" s="14">
        <f>YEAR(TODAY())</f>
        <v/>
      </c>
      <c r="B3" s="14" t="n">
        <v>2</v>
      </c>
      <c r="C3" s="14">
        <f>TEXT(DATE(A3,B3,1),"mmmm")</f>
        <v/>
      </c>
      <c r="D3" s="14">
        <f>SUMPRODUCT((IFERROR(--RIGHT(DailyRouteRecordTable[Departure Date],4),0)=A3)*(IFERROR(--MID(DailyRouteRecordTable[Departure Date],4,2),0)=B3))</f>
        <v/>
      </c>
      <c r="E3" s="10">
        <f>SUMPRODUCT((IFERROR(--RIGHT(DailyRouteRecordTable[Departure Date],4),0)=A3)*(IFERROR(--MID(DailyRouteRecordTable[Departure Date],4,2),0)=B3)*N(DailyRouteRecordTable[Total Expenses]))</f>
        <v/>
      </c>
      <c r="F3" s="10">
        <f>SUMPRODUCT((IFERROR(--RIGHT(DailyRouteRecordTable[Departure Date],4),0)=A3)*(IFERROR(--MID(DailyRouteRecordTable[Departure Date],4,2),0)=B3)*N(DailyRouteRecordTable[Total Income]))</f>
        <v/>
      </c>
      <c r="G3" s="10">
        <f>SUMPRODUCT((IFERROR(--RIGHT(DailyRouteRecordTable[Departure Date],4),0)=A3)*(IFERROR(--MID(DailyRouteRecordTable[Departure Date],4,2),0)=B3)*N(DailyRouteRecordTable[Additional Expense Amount]))</f>
        <v/>
      </c>
      <c r="H3" s="10">
        <f>MAX(F3-(E3+G3),0)</f>
        <v/>
      </c>
      <c r="I3" s="10">
        <f>MAX((E3+G3)-F3,0)</f>
        <v/>
      </c>
    </row>
    <row r="4">
      <c r="A4" s="14">
        <f>YEAR(TODAY())</f>
        <v/>
      </c>
      <c r="B4" s="14" t="n">
        <v>3</v>
      </c>
      <c r="C4" s="14">
        <f>TEXT(DATE(A4,B4,1),"mmmm")</f>
        <v/>
      </c>
      <c r="D4" s="14">
        <f>SUMPRODUCT((IFERROR(--RIGHT(DailyRouteRecordTable[Departure Date],4),0)=A4)*(IFERROR(--MID(DailyRouteRecordTable[Departure Date],4,2),0)=B4))</f>
        <v/>
      </c>
      <c r="E4" s="10">
        <f>SUMPRODUCT((IFERROR(--RIGHT(DailyRouteRecordTable[Departure Date],4),0)=A4)*(IFERROR(--MID(DailyRouteRecordTable[Departure Date],4,2),0)=B4)*N(DailyRouteRecordTable[Total Expenses]))</f>
        <v/>
      </c>
      <c r="F4" s="10">
        <f>SUMPRODUCT((IFERROR(--RIGHT(DailyRouteRecordTable[Departure Date],4),0)=A4)*(IFERROR(--MID(DailyRouteRecordTable[Departure Date],4,2),0)=B4)*N(DailyRouteRecordTable[Total Income]))</f>
        <v/>
      </c>
      <c r="G4" s="10">
        <f>SUMPRODUCT((IFERROR(--RIGHT(DailyRouteRecordTable[Departure Date],4),0)=A4)*(IFERROR(--MID(DailyRouteRecordTable[Departure Date],4,2),0)=B4)*N(DailyRouteRecordTable[Additional Expense Amount]))</f>
        <v/>
      </c>
      <c r="H4" s="10">
        <f>MAX(F4-(E4+G4),0)</f>
        <v/>
      </c>
      <c r="I4" s="10">
        <f>MAX((E4+G4)-F4,0)</f>
        <v/>
      </c>
    </row>
    <row r="5">
      <c r="A5" s="14">
        <f>YEAR(TODAY())</f>
        <v/>
      </c>
      <c r="B5" s="14" t="n">
        <v>4</v>
      </c>
      <c r="C5" s="14">
        <f>TEXT(DATE(A5,B5,1),"mmmm")</f>
        <v/>
      </c>
      <c r="D5" s="14">
        <f>SUMPRODUCT((IFERROR(--RIGHT(DailyRouteRecordTable[Departure Date],4),0)=A5)*(IFERROR(--MID(DailyRouteRecordTable[Departure Date],4,2),0)=B5))</f>
        <v/>
      </c>
      <c r="E5" s="10">
        <f>SUMPRODUCT((IFERROR(--RIGHT(DailyRouteRecordTable[Departure Date],4),0)=A5)*(IFERROR(--MID(DailyRouteRecordTable[Departure Date],4,2),0)=B5)*N(DailyRouteRecordTable[Total Expenses]))</f>
        <v/>
      </c>
      <c r="F5" s="10">
        <f>SUMPRODUCT((IFERROR(--RIGHT(DailyRouteRecordTable[Departure Date],4),0)=A5)*(IFERROR(--MID(DailyRouteRecordTable[Departure Date],4,2),0)=B5)*N(DailyRouteRecordTable[Total Income]))</f>
        <v/>
      </c>
      <c r="G5" s="10">
        <f>SUMPRODUCT((IFERROR(--RIGHT(DailyRouteRecordTable[Departure Date],4),0)=A5)*(IFERROR(--MID(DailyRouteRecordTable[Departure Date],4,2),0)=B5)*N(DailyRouteRecordTable[Additional Expense Amount]))</f>
        <v/>
      </c>
      <c r="H5" s="10">
        <f>MAX(F5-(E5+G5),0)</f>
        <v/>
      </c>
      <c r="I5" s="10">
        <f>MAX((E5+G5)-F5,0)</f>
        <v/>
      </c>
    </row>
    <row r="6">
      <c r="A6" s="14">
        <f>YEAR(TODAY())</f>
        <v/>
      </c>
      <c r="B6" s="14" t="n">
        <v>5</v>
      </c>
      <c r="C6" s="14">
        <f>TEXT(DATE(A6,B6,1),"mmmm")</f>
        <v/>
      </c>
      <c r="D6" s="14">
        <f>SUMPRODUCT((IFERROR(--RIGHT(DailyRouteRecordTable[Departure Date],4),0)=A6)*(IFERROR(--MID(DailyRouteRecordTable[Departure Date],4,2),0)=B6))</f>
        <v/>
      </c>
      <c r="E6" s="10">
        <f>SUMPRODUCT((IFERROR(--RIGHT(DailyRouteRecordTable[Departure Date],4),0)=A6)*(IFERROR(--MID(DailyRouteRecordTable[Departure Date],4,2),0)=B6)*N(DailyRouteRecordTable[Total Expenses]))</f>
        <v/>
      </c>
      <c r="F6" s="10">
        <f>SUMPRODUCT((IFERROR(--RIGHT(DailyRouteRecordTable[Departure Date],4),0)=A6)*(IFERROR(--MID(DailyRouteRecordTable[Departure Date],4,2),0)=B6)*N(DailyRouteRecordTable[Total Income]))</f>
        <v/>
      </c>
      <c r="G6" s="10">
        <f>SUMPRODUCT((IFERROR(--RIGHT(DailyRouteRecordTable[Departure Date],4),0)=A6)*(IFERROR(--MID(DailyRouteRecordTable[Departure Date],4,2),0)=B6)*N(DailyRouteRecordTable[Additional Expense Amount]))</f>
        <v/>
      </c>
      <c r="H6" s="10">
        <f>MAX(F6-(E6+G6),0)</f>
        <v/>
      </c>
      <c r="I6" s="10">
        <f>MAX((E6+G6)-F6,0)</f>
        <v/>
      </c>
    </row>
    <row r="7">
      <c r="A7" s="14">
        <f>YEAR(TODAY())</f>
        <v/>
      </c>
      <c r="B7" s="14" t="n">
        <v>6</v>
      </c>
      <c r="C7" s="14">
        <f>TEXT(DATE(A7,B7,1),"mmmm")</f>
        <v/>
      </c>
      <c r="D7" s="14">
        <f>SUMPRODUCT((IFERROR(--RIGHT(DailyRouteRecordTable[Departure Date],4),0)=A7)*(IFERROR(--MID(DailyRouteRecordTable[Departure Date],4,2),0)=B7))</f>
        <v/>
      </c>
      <c r="E7" s="10">
        <f>SUMPRODUCT((IFERROR(--RIGHT(DailyRouteRecordTable[Departure Date],4),0)=A7)*(IFERROR(--MID(DailyRouteRecordTable[Departure Date],4,2),0)=B7)*N(DailyRouteRecordTable[Total Expenses]))</f>
        <v/>
      </c>
      <c r="F7" s="10">
        <f>SUMPRODUCT((IFERROR(--RIGHT(DailyRouteRecordTable[Departure Date],4),0)=A7)*(IFERROR(--MID(DailyRouteRecordTable[Departure Date],4,2),0)=B7)*N(DailyRouteRecordTable[Total Income]))</f>
        <v/>
      </c>
      <c r="G7" s="10">
        <f>SUMPRODUCT((IFERROR(--RIGHT(DailyRouteRecordTable[Departure Date],4),0)=A7)*(IFERROR(--MID(DailyRouteRecordTable[Departure Date],4,2),0)=B7)*N(DailyRouteRecordTable[Additional Expense Amount]))</f>
        <v/>
      </c>
      <c r="H7" s="10">
        <f>MAX(F7-(E7+G7),0)</f>
        <v/>
      </c>
      <c r="I7" s="10">
        <f>MAX((E7+G7)-F7,0)</f>
        <v/>
      </c>
    </row>
    <row r="8">
      <c r="A8" s="14">
        <f>YEAR(TODAY())</f>
        <v/>
      </c>
      <c r="B8" s="14" t="n">
        <v>7</v>
      </c>
      <c r="C8" s="14">
        <f>TEXT(DATE(A8,B8,1),"mmmm")</f>
        <v/>
      </c>
      <c r="D8" s="14">
        <f>SUMPRODUCT((IFERROR(--RIGHT(DailyRouteRecordTable[Departure Date],4),0)=A8)*(IFERROR(--MID(DailyRouteRecordTable[Departure Date],4,2),0)=B8))</f>
        <v/>
      </c>
      <c r="E8" s="10">
        <f>SUMPRODUCT((IFERROR(--RIGHT(DailyRouteRecordTable[Departure Date],4),0)=A8)*(IFERROR(--MID(DailyRouteRecordTable[Departure Date],4,2),0)=B8)*N(DailyRouteRecordTable[Total Expenses]))</f>
        <v/>
      </c>
      <c r="F8" s="10">
        <f>SUMPRODUCT((IFERROR(--RIGHT(DailyRouteRecordTable[Departure Date],4),0)=A8)*(IFERROR(--MID(DailyRouteRecordTable[Departure Date],4,2),0)=B8)*N(DailyRouteRecordTable[Total Income]))</f>
        <v/>
      </c>
      <c r="G8" s="10">
        <f>SUMPRODUCT((IFERROR(--RIGHT(DailyRouteRecordTable[Departure Date],4),0)=A8)*(IFERROR(--MID(DailyRouteRecordTable[Departure Date],4,2),0)=B8)*N(DailyRouteRecordTable[Additional Expense Amount]))</f>
        <v/>
      </c>
      <c r="H8" s="10">
        <f>MAX(F8-(E8+G8),0)</f>
        <v/>
      </c>
      <c r="I8" s="10">
        <f>MAX((E8+G8)-F8,0)</f>
        <v/>
      </c>
    </row>
    <row r="9">
      <c r="A9" s="14">
        <f>YEAR(TODAY())</f>
        <v/>
      </c>
      <c r="B9" s="14" t="n">
        <v>8</v>
      </c>
      <c r="C9" s="14">
        <f>TEXT(DATE(A9,B9,1),"mmmm")</f>
        <v/>
      </c>
      <c r="D9" s="14">
        <f>SUMPRODUCT((IFERROR(--RIGHT(DailyRouteRecordTable[Departure Date],4),0)=A9)*(IFERROR(--MID(DailyRouteRecordTable[Departure Date],4,2),0)=B9))</f>
        <v/>
      </c>
      <c r="E9" s="10">
        <f>SUMPRODUCT((IFERROR(--RIGHT(DailyRouteRecordTable[Departure Date],4),0)=A9)*(IFERROR(--MID(DailyRouteRecordTable[Departure Date],4,2),0)=B9)*N(DailyRouteRecordTable[Total Expenses]))</f>
        <v/>
      </c>
      <c r="F9" s="10">
        <f>SUMPRODUCT((IFERROR(--RIGHT(DailyRouteRecordTable[Departure Date],4),0)=A9)*(IFERROR(--MID(DailyRouteRecordTable[Departure Date],4,2),0)=B9)*N(DailyRouteRecordTable[Total Income]))</f>
        <v/>
      </c>
      <c r="G9" s="10">
        <f>SUMPRODUCT((IFERROR(--RIGHT(DailyRouteRecordTable[Departure Date],4),0)=A9)*(IFERROR(--MID(DailyRouteRecordTable[Departure Date],4,2),0)=B9)*N(DailyRouteRecordTable[Additional Expense Amount]))</f>
        <v/>
      </c>
      <c r="H9" s="10">
        <f>MAX(F9-(E9+G9),0)</f>
        <v/>
      </c>
      <c r="I9" s="10">
        <f>MAX((E9+G9)-F9,0)</f>
        <v/>
      </c>
    </row>
    <row r="10">
      <c r="A10" s="14">
        <f>YEAR(TODAY())</f>
        <v/>
      </c>
      <c r="B10" s="14" t="n">
        <v>9</v>
      </c>
      <c r="C10" s="14">
        <f>TEXT(DATE(A10,B10,1),"mmmm")</f>
        <v/>
      </c>
      <c r="D10" s="14">
        <f>SUMPRODUCT((IFERROR(--RIGHT(DailyRouteRecordTable[Departure Date],4),0)=A10)*(IFERROR(--MID(DailyRouteRecordTable[Departure Date],4,2),0)=B10))</f>
        <v/>
      </c>
      <c r="E10" s="10">
        <f>SUMPRODUCT((IFERROR(--RIGHT(DailyRouteRecordTable[Departure Date],4),0)=A10)*(IFERROR(--MID(DailyRouteRecordTable[Departure Date],4,2),0)=B10)*N(DailyRouteRecordTable[Total Expenses]))</f>
        <v/>
      </c>
      <c r="F10" s="10">
        <f>SUMPRODUCT((IFERROR(--RIGHT(DailyRouteRecordTable[Departure Date],4),0)=A10)*(IFERROR(--MID(DailyRouteRecordTable[Departure Date],4,2),0)=B10)*N(DailyRouteRecordTable[Total Income]))</f>
        <v/>
      </c>
      <c r="G10" s="10">
        <f>SUMPRODUCT((IFERROR(--RIGHT(DailyRouteRecordTable[Departure Date],4),0)=A10)*(IFERROR(--MID(DailyRouteRecordTable[Departure Date],4,2),0)=B10)*N(DailyRouteRecordTable[Additional Expense Amount]))</f>
        <v/>
      </c>
      <c r="H10" s="10">
        <f>MAX(F10-(E10+G10),0)</f>
        <v/>
      </c>
      <c r="I10" s="10">
        <f>MAX((E10+G10)-F10,0)</f>
        <v/>
      </c>
    </row>
    <row r="11">
      <c r="A11" s="14">
        <f>YEAR(TODAY())</f>
        <v/>
      </c>
      <c r="B11" s="14" t="n">
        <v>10</v>
      </c>
      <c r="C11" s="14">
        <f>TEXT(DATE(A11,B11,1),"mmmm")</f>
        <v/>
      </c>
      <c r="D11" s="14">
        <f>SUMPRODUCT((IFERROR(--RIGHT(DailyRouteRecordTable[Departure Date],4),0)=A11)*(IFERROR(--MID(DailyRouteRecordTable[Departure Date],4,2),0)=B11))</f>
        <v/>
      </c>
      <c r="E11" s="10">
        <f>SUMPRODUCT((IFERROR(--RIGHT(DailyRouteRecordTable[Departure Date],4),0)=A11)*(IFERROR(--MID(DailyRouteRecordTable[Departure Date],4,2),0)=B11)*N(DailyRouteRecordTable[Total Expenses]))</f>
        <v/>
      </c>
      <c r="F11" s="10">
        <f>SUMPRODUCT((IFERROR(--RIGHT(DailyRouteRecordTable[Departure Date],4),0)=A11)*(IFERROR(--MID(DailyRouteRecordTable[Departure Date],4,2),0)=B11)*N(DailyRouteRecordTable[Total Income]))</f>
        <v/>
      </c>
      <c r="G11" s="10">
        <f>SUMPRODUCT((IFERROR(--RIGHT(DailyRouteRecordTable[Departure Date],4),0)=A11)*(IFERROR(--MID(DailyRouteRecordTable[Departure Date],4,2),0)=B11)*N(DailyRouteRecordTable[Additional Expense Amount]))</f>
        <v/>
      </c>
      <c r="H11" s="10">
        <f>MAX(F11-(E11+G11),0)</f>
        <v/>
      </c>
      <c r="I11" s="10">
        <f>MAX((E11+G11)-F11,0)</f>
        <v/>
      </c>
    </row>
    <row r="12">
      <c r="A12" s="14">
        <f>YEAR(TODAY())</f>
        <v/>
      </c>
      <c r="B12" s="14" t="n">
        <v>11</v>
      </c>
      <c r="C12" s="14">
        <f>TEXT(DATE(A12,B12,1),"mmmm")</f>
        <v/>
      </c>
      <c r="D12" s="14">
        <f>SUMPRODUCT((IFERROR(--RIGHT(DailyRouteRecordTable[Departure Date],4),0)=A12)*(IFERROR(--MID(DailyRouteRecordTable[Departure Date],4,2),0)=B12))</f>
        <v/>
      </c>
      <c r="E12" s="10">
        <f>SUMPRODUCT((IFERROR(--RIGHT(DailyRouteRecordTable[Departure Date],4),0)=A12)*(IFERROR(--MID(DailyRouteRecordTable[Departure Date],4,2),0)=B12)*N(DailyRouteRecordTable[Total Expenses]))</f>
        <v/>
      </c>
      <c r="F12" s="10">
        <f>SUMPRODUCT((IFERROR(--RIGHT(DailyRouteRecordTable[Departure Date],4),0)=A12)*(IFERROR(--MID(DailyRouteRecordTable[Departure Date],4,2),0)=B12)*N(DailyRouteRecordTable[Total Income]))</f>
        <v/>
      </c>
      <c r="G12" s="10">
        <f>SUMPRODUCT((IFERROR(--RIGHT(DailyRouteRecordTable[Departure Date],4),0)=A12)*(IFERROR(--MID(DailyRouteRecordTable[Departure Date],4,2),0)=B12)*N(DailyRouteRecordTable[Additional Expense Amount]))</f>
        <v/>
      </c>
      <c r="H12" s="10">
        <f>MAX(F12-(E12+G12),0)</f>
        <v/>
      </c>
      <c r="I12" s="10">
        <f>MAX((E12+G12)-F12,0)</f>
        <v/>
      </c>
    </row>
    <row r="13">
      <c r="A13" s="14">
        <f>YEAR(TODAY())</f>
        <v/>
      </c>
      <c r="B13" s="14" t="n">
        <v>12</v>
      </c>
      <c r="C13" s="14">
        <f>TEXT(DATE(A13,B13,1),"mmmm")</f>
        <v/>
      </c>
      <c r="D13" s="14">
        <f>SUMPRODUCT((IFERROR(--RIGHT(DailyRouteRecordTable[Departure Date],4),0)=A13)*(IFERROR(--MID(DailyRouteRecordTable[Departure Date],4,2),0)=B13))</f>
        <v/>
      </c>
      <c r="E13" s="10">
        <f>SUMPRODUCT((IFERROR(--RIGHT(DailyRouteRecordTable[Departure Date],4),0)=A13)*(IFERROR(--MID(DailyRouteRecordTable[Departure Date],4,2),0)=B13)*N(DailyRouteRecordTable[Total Expenses]))</f>
        <v/>
      </c>
      <c r="F13" s="10">
        <f>SUMPRODUCT((IFERROR(--RIGHT(DailyRouteRecordTable[Departure Date],4),0)=A13)*(IFERROR(--MID(DailyRouteRecordTable[Departure Date],4,2),0)=B13)*N(DailyRouteRecordTable[Total Income]))</f>
        <v/>
      </c>
      <c r="G13" s="10">
        <f>SUMPRODUCT((IFERROR(--RIGHT(DailyRouteRecordTable[Departure Date],4),0)=A13)*(IFERROR(--MID(DailyRouteRecordTable[Departure Date],4,2),0)=B13)*N(DailyRouteRecordTable[Additional Expense Amount]))</f>
        <v/>
      </c>
      <c r="H13" s="10">
        <f>MAX(F13-(E13+G13),0)</f>
        <v/>
      </c>
      <c r="I13" s="10">
        <f>MAX((E13+G13)-F13,0)</f>
        <v/>
      </c>
    </row>
  </sheetData>
  <conditionalFormatting sqref="H2:H13">
    <cfRule type="cellIs" priority="1" operator="greaterThan" dxfId="0">
      <formula>0</formula>
    </cfRule>
  </conditionalFormatting>
  <conditionalFormatting sqref="I2:I13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5" t="inlineStr">
        <is>
          <t>Year</t>
        </is>
      </c>
      <c r="B1" s="15" t="inlineStr">
        <is>
          <t>Trips</t>
        </is>
      </c>
      <c r="C1" s="15" t="inlineStr">
        <is>
          <t>Total Expenses</t>
        </is>
      </c>
      <c r="D1" s="15" t="inlineStr">
        <is>
          <t>Total Income</t>
        </is>
      </c>
      <c r="E1" s="15" t="inlineStr">
        <is>
          <t>Additional Expenses</t>
        </is>
      </c>
      <c r="F1" s="15" t="inlineStr">
        <is>
          <t>Profit</t>
        </is>
      </c>
      <c r="G1" s="15" t="inlineStr">
        <is>
          <t>Loss</t>
        </is>
      </c>
    </row>
    <row r="2">
      <c r="A2" s="14">
        <f>YEAR(TODAY())-4+ROW()-2</f>
        <v/>
      </c>
      <c r="B2" s="14">
        <f>SUMPRODUCT((IFERROR(--RIGHT(DailyRouteRecordTable[Departure Date],4),0)=A2))</f>
        <v/>
      </c>
      <c r="C2" s="10">
        <f>SUMPRODUCT((IFERROR(--RIGHT(DailyRouteRecordTable[Departure Date],4),0)=A2)*N(DailyRouteRecordTable[Total Expenses]))</f>
        <v/>
      </c>
      <c r="D2" s="10">
        <f>SUMPRODUCT((IFERROR(--RIGHT(DailyRouteRecordTable[Departure Date],4),0)=A2)*N(DailyRouteRecordTable[Total Income]))</f>
        <v/>
      </c>
      <c r="E2" s="10">
        <f>SUMPRODUCT((IFERROR(--RIGHT(DailyRouteRecordTable[Departure Date],4),0)=A2)*N(DailyRouteRecordTable[Additional Expense Amount]))</f>
        <v/>
      </c>
      <c r="F2" s="10">
        <f>MAX(D2-(C2+E2),0)</f>
        <v/>
      </c>
      <c r="G2" s="10">
        <f>MAX((C2+E2)-D2,0)</f>
        <v/>
      </c>
    </row>
    <row r="3">
      <c r="A3" s="14">
        <f>YEAR(TODAY())-4+ROW()-2</f>
        <v/>
      </c>
      <c r="B3" s="14">
        <f>SUMPRODUCT((IFERROR(--RIGHT(DailyRouteRecordTable[Departure Date],4),0)=A3))</f>
        <v/>
      </c>
      <c r="C3" s="10">
        <f>SUMPRODUCT((IFERROR(--RIGHT(DailyRouteRecordTable[Departure Date],4),0)=A3)*N(DailyRouteRecordTable[Total Expenses]))</f>
        <v/>
      </c>
      <c r="D3" s="10">
        <f>SUMPRODUCT((IFERROR(--RIGHT(DailyRouteRecordTable[Departure Date],4),0)=A3)*N(DailyRouteRecordTable[Total Income]))</f>
        <v/>
      </c>
      <c r="E3" s="10">
        <f>SUMPRODUCT((IFERROR(--RIGHT(DailyRouteRecordTable[Departure Date],4),0)=A3)*N(DailyRouteRecordTable[Additional Expense Amount]))</f>
        <v/>
      </c>
      <c r="F3" s="10">
        <f>MAX(D3-(C3+E3),0)</f>
        <v/>
      </c>
      <c r="G3" s="10">
        <f>MAX((C3+E3)-D3,0)</f>
        <v/>
      </c>
    </row>
    <row r="4">
      <c r="A4" s="14">
        <f>YEAR(TODAY())-4+ROW()-2</f>
        <v/>
      </c>
      <c r="B4" s="14">
        <f>SUMPRODUCT((IFERROR(--RIGHT(DailyRouteRecordTable[Departure Date],4),0)=A4))</f>
        <v/>
      </c>
      <c r="C4" s="10">
        <f>SUMPRODUCT((IFERROR(--RIGHT(DailyRouteRecordTable[Departure Date],4),0)=A4)*N(DailyRouteRecordTable[Total Expenses]))</f>
        <v/>
      </c>
      <c r="D4" s="10">
        <f>SUMPRODUCT((IFERROR(--RIGHT(DailyRouteRecordTable[Departure Date],4),0)=A4)*N(DailyRouteRecordTable[Total Income]))</f>
        <v/>
      </c>
      <c r="E4" s="10">
        <f>SUMPRODUCT((IFERROR(--RIGHT(DailyRouteRecordTable[Departure Date],4),0)=A4)*N(DailyRouteRecordTable[Additional Expense Amount]))</f>
        <v/>
      </c>
      <c r="F4" s="10">
        <f>MAX(D4-(C4+E4),0)</f>
        <v/>
      </c>
      <c r="G4" s="10">
        <f>MAX((C4+E4)-D4,0)</f>
        <v/>
      </c>
    </row>
    <row r="5">
      <c r="A5" s="14">
        <f>YEAR(TODAY())-4+ROW()-2</f>
        <v/>
      </c>
      <c r="B5" s="14">
        <f>SUMPRODUCT((IFERROR(--RIGHT(DailyRouteRecordTable[Departure Date],4),0)=A5))</f>
        <v/>
      </c>
      <c r="C5" s="10">
        <f>SUMPRODUCT((IFERROR(--RIGHT(DailyRouteRecordTable[Departure Date],4),0)=A5)*N(DailyRouteRecordTable[Total Expenses]))</f>
        <v/>
      </c>
      <c r="D5" s="10">
        <f>SUMPRODUCT((IFERROR(--RIGHT(DailyRouteRecordTable[Departure Date],4),0)=A5)*N(DailyRouteRecordTable[Total Income]))</f>
        <v/>
      </c>
      <c r="E5" s="10">
        <f>SUMPRODUCT((IFERROR(--RIGHT(DailyRouteRecordTable[Departure Date],4),0)=A5)*N(DailyRouteRecordTable[Additional Expense Amount]))</f>
        <v/>
      </c>
      <c r="F5" s="10">
        <f>MAX(D5-(C5+E5),0)</f>
        <v/>
      </c>
      <c r="G5" s="10">
        <f>MAX((C5+E5)-D5,0)</f>
        <v/>
      </c>
    </row>
    <row r="6">
      <c r="A6" s="14">
        <f>YEAR(TODAY())-4+ROW()-2</f>
        <v/>
      </c>
      <c r="B6" s="14">
        <f>SUMPRODUCT((IFERROR(--RIGHT(DailyRouteRecordTable[Departure Date],4),0)=A6))</f>
        <v/>
      </c>
      <c r="C6" s="10">
        <f>SUMPRODUCT((IFERROR(--RIGHT(DailyRouteRecordTable[Departure Date],4),0)=A6)*N(DailyRouteRecordTable[Total Expenses]))</f>
        <v/>
      </c>
      <c r="D6" s="10">
        <f>SUMPRODUCT((IFERROR(--RIGHT(DailyRouteRecordTable[Departure Date],4),0)=A6)*N(DailyRouteRecordTable[Total Income]))</f>
        <v/>
      </c>
      <c r="E6" s="10">
        <f>SUMPRODUCT((IFERROR(--RIGHT(DailyRouteRecordTable[Departure Date],4),0)=A6)*N(DailyRouteRecordTable[Additional Expense Amount]))</f>
        <v/>
      </c>
      <c r="F6" s="10">
        <f>MAX(D6-(C6+E6),0)</f>
        <v/>
      </c>
      <c r="G6" s="10">
        <f>MAX((C6+E6)-D6,0)</f>
        <v/>
      </c>
    </row>
    <row r="7">
      <c r="A7" s="14">
        <f>YEAR(TODAY())-4+ROW()-2</f>
        <v/>
      </c>
      <c r="B7" s="14">
        <f>SUMPRODUCT((IFERROR(--RIGHT(DailyRouteRecordTable[Departure Date],4),0)=A7))</f>
        <v/>
      </c>
      <c r="C7" s="10">
        <f>SUMPRODUCT((IFERROR(--RIGHT(DailyRouteRecordTable[Departure Date],4),0)=A7)*N(DailyRouteRecordTable[Total Expenses]))</f>
        <v/>
      </c>
      <c r="D7" s="10">
        <f>SUMPRODUCT((IFERROR(--RIGHT(DailyRouteRecordTable[Departure Date],4),0)=A7)*N(DailyRouteRecordTable[Total Income]))</f>
        <v/>
      </c>
      <c r="E7" s="10">
        <f>SUMPRODUCT((IFERROR(--RIGHT(DailyRouteRecordTable[Departure Date],4),0)=A7)*N(DailyRouteRecordTable[Additional Expense Amount]))</f>
        <v/>
      </c>
      <c r="F7" s="10">
        <f>MAX(D7-(C7+E7),0)</f>
        <v/>
      </c>
      <c r="G7" s="10">
        <f>MAX((C7+E7)-D7,0)</f>
        <v/>
      </c>
    </row>
    <row r="8">
      <c r="A8" s="14">
        <f>YEAR(TODAY())-4+ROW()-2</f>
        <v/>
      </c>
      <c r="B8" s="14">
        <f>SUMPRODUCT((IFERROR(--RIGHT(DailyRouteRecordTable[Departure Date],4),0)=A8))</f>
        <v/>
      </c>
      <c r="C8" s="10">
        <f>SUMPRODUCT((IFERROR(--RIGHT(DailyRouteRecordTable[Departure Date],4),0)=A8)*N(DailyRouteRecordTable[Total Expenses]))</f>
        <v/>
      </c>
      <c r="D8" s="10">
        <f>SUMPRODUCT((IFERROR(--RIGHT(DailyRouteRecordTable[Departure Date],4),0)=A8)*N(DailyRouteRecordTable[Total Income]))</f>
        <v/>
      </c>
      <c r="E8" s="10">
        <f>SUMPRODUCT((IFERROR(--RIGHT(DailyRouteRecordTable[Departure Date],4),0)=A8)*N(DailyRouteRecordTable[Additional Expense Amount]))</f>
        <v/>
      </c>
      <c r="F8" s="10">
        <f>MAX(D8-(C8+E8),0)</f>
        <v/>
      </c>
      <c r="G8" s="10">
        <f>MAX((C8+E8)-D8,0)</f>
        <v/>
      </c>
    </row>
    <row r="9">
      <c r="A9" s="14">
        <f>YEAR(TODAY())-4+ROW()-2</f>
        <v/>
      </c>
      <c r="B9" s="14">
        <f>SUMPRODUCT((IFERROR(--RIGHT(DailyRouteRecordTable[Departure Date],4),0)=A9))</f>
        <v/>
      </c>
      <c r="C9" s="10">
        <f>SUMPRODUCT((IFERROR(--RIGHT(DailyRouteRecordTable[Departure Date],4),0)=A9)*N(DailyRouteRecordTable[Total Expenses]))</f>
        <v/>
      </c>
      <c r="D9" s="10">
        <f>SUMPRODUCT((IFERROR(--RIGHT(DailyRouteRecordTable[Departure Date],4),0)=A9)*N(DailyRouteRecordTable[Total Income]))</f>
        <v/>
      </c>
      <c r="E9" s="10">
        <f>SUMPRODUCT((IFERROR(--RIGHT(DailyRouteRecordTable[Departure Date],4),0)=A9)*N(DailyRouteRecordTable[Additional Expense Amount]))</f>
        <v/>
      </c>
      <c r="F9" s="10">
        <f>MAX(D9-(C9+E9),0)</f>
        <v/>
      </c>
      <c r="G9" s="10">
        <f>MAX((C9+E9)-D9,0)</f>
        <v/>
      </c>
    </row>
    <row r="10">
      <c r="A10" s="14">
        <f>YEAR(TODAY())-4+ROW()-2</f>
        <v/>
      </c>
      <c r="B10" s="14">
        <f>SUMPRODUCT((IFERROR(--RIGHT(DailyRouteRecordTable[Departure Date],4),0)=A10))</f>
        <v/>
      </c>
      <c r="C10" s="10">
        <f>SUMPRODUCT((IFERROR(--RIGHT(DailyRouteRecordTable[Departure Date],4),0)=A10)*N(DailyRouteRecordTable[Total Expenses]))</f>
        <v/>
      </c>
      <c r="D10" s="10">
        <f>SUMPRODUCT((IFERROR(--RIGHT(DailyRouteRecordTable[Departure Date],4),0)=A10)*N(DailyRouteRecordTable[Total Income]))</f>
        <v/>
      </c>
      <c r="E10" s="10">
        <f>SUMPRODUCT((IFERROR(--RIGHT(DailyRouteRecordTable[Departure Date],4),0)=A10)*N(DailyRouteRecordTable[Additional Expense Amount]))</f>
        <v/>
      </c>
      <c r="F10" s="10">
        <f>MAX(D10-(C10+E10),0)</f>
        <v/>
      </c>
      <c r="G10" s="10">
        <f>MAX((C10+E10)-D10,0)</f>
        <v/>
      </c>
    </row>
    <row r="11">
      <c r="A11" s="14">
        <f>YEAR(TODAY())-4+ROW()-2</f>
        <v/>
      </c>
      <c r="B11" s="14">
        <f>SUMPRODUCT((IFERROR(--RIGHT(DailyRouteRecordTable[Departure Date],4),0)=A11))</f>
        <v/>
      </c>
      <c r="C11" s="10">
        <f>SUMPRODUCT((IFERROR(--RIGHT(DailyRouteRecordTable[Departure Date],4),0)=A11)*N(DailyRouteRecordTable[Total Expenses]))</f>
        <v/>
      </c>
      <c r="D11" s="10">
        <f>SUMPRODUCT((IFERROR(--RIGHT(DailyRouteRecordTable[Departure Date],4),0)=A11)*N(DailyRouteRecordTable[Total Income]))</f>
        <v/>
      </c>
      <c r="E11" s="10">
        <f>SUMPRODUCT((IFERROR(--RIGHT(DailyRouteRecordTable[Departure Date],4),0)=A11)*N(DailyRouteRecordTable[Additional Expense Amount]))</f>
        <v/>
      </c>
      <c r="F11" s="10">
        <f>MAX(D11-(C11+E11),0)</f>
        <v/>
      </c>
      <c r="G11" s="10">
        <f>MAX((C11+E11)-D11,0)</f>
        <v/>
      </c>
    </row>
  </sheetData>
  <conditionalFormatting sqref="F2:F11">
    <cfRule type="cellIs" priority="1" operator="greaterThan" dxfId="0">
      <formula>0</formula>
    </cfRule>
  </conditionalFormatting>
  <conditionalFormatting sqref="G2:G11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0" customHeight="1">
      <c r="A1" s="16" t="inlineStr">
        <is>
          <t>Transport Business Dashboard</t>
        </is>
      </c>
      <c r="R1" s="17" t="inlineStr">
        <is>
          <t>Top 5 Profitable Routes</t>
        </is>
      </c>
      <c r="S1" s="17" t="inlineStr">
        <is>
          <t>Profit</t>
        </is>
      </c>
      <c r="T1" s="17" t="inlineStr">
        <is>
          <t>Top 5 Non-Profitable Routes</t>
        </is>
      </c>
      <c r="U1" s="17" t="inlineStr">
        <is>
          <t>Loss</t>
        </is>
      </c>
      <c r="AA1" t="inlineStr">
        <is>
          <t>Route Candidate</t>
        </is>
      </c>
      <c r="AB1" t="inlineStr">
        <is>
          <t>Route Profit</t>
        </is>
      </c>
      <c r="AC1" t="inlineStr">
        <is>
          <t>Route Loss</t>
        </is>
      </c>
      <c r="AD1" t="inlineStr">
        <is>
          <t>Profit Rank</t>
        </is>
      </c>
      <c r="AE1" t="inlineStr">
        <is>
          <t>Loss Rank</t>
        </is>
      </c>
    </row>
    <row r="2">
      <c r="A2" s="18" t="inlineStr">
        <is>
          <t>Theme</t>
        </is>
      </c>
      <c r="B2" s="19" t="inlineStr">
        <is>
          <t>Light</t>
        </is>
      </c>
      <c r="R2" s="14">
        <f>IFERROR(INDEX($AA$2:$AA$501,MATCH(ROWS($R$2:R2),$AD$2:$AD$501,0)),"")</f>
        <v/>
      </c>
      <c r="S2" s="10">
        <f>IF($R2="","",INDEX($AB$2:$AB$501,MATCH($R2,$AA$2:$AA$501,0)))</f>
        <v/>
      </c>
      <c r="T2" s="14">
        <f>IFERROR(INDEX($AA$2:$AA$501,MATCH(ROWS($T$2:T2),$AE$2:$AE$501,0)),"")</f>
        <v/>
      </c>
      <c r="U2" s="10">
        <f>IF($T2="","",INDEX($AC$2:$AC$501,MATCH($T2,$AA$2:$AA$501,0)))</f>
        <v/>
      </c>
      <c r="AA2">
        <f>IFERROR(INDEX(DailyRouteRecordTable[Route],ROW()-1),"")</f>
        <v/>
      </c>
      <c r="AB2">
        <f>IF(AA2="","",IF(COUNTIF($AA$2:AA2,AA2)&gt;1,0,SUMPRODUCT((DailyRouteRecordTable[Route]=AA2)*(IF($B$6="All",1,IFERROR(--MID(DailyRouteRecordTable[Departure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">
        <f>IF(AA2="","",IF(COUNTIF($AA$2:AA2,AA2)&gt;1,0,SUMPRODUCT((DailyRouteRecordTable[Route]=AA2)*(IF($B$6="All",1,IFERROR(--MID(DailyRouteRecordTable[Departure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">
        <f>IF(AB2&lt;=0,"",RANK(AB2,$AB$2:$AB$501,0)+COUNTIFS($AB$2:AB2,AB2)-1)</f>
        <v/>
      </c>
      <c r="AE2">
        <f>IF(AC2&lt;=0,"",RANK(AC2,$AC$2:$AC$501,0)+COUNTIFS($AC$2:AC2,AC2)-1)</f>
        <v/>
      </c>
    </row>
    <row r="3" ht="22" customHeight="1">
      <c r="A3" s="20" t="inlineStr">
        <is>
          <t>Total Trips</t>
        </is>
      </c>
      <c r="B3" s="14" t="n"/>
      <c r="C3" s="21" t="inlineStr">
        <is>
          <t>Total Income</t>
        </is>
      </c>
      <c r="D3" s="14" t="n"/>
      <c r="E3" s="22" t="inlineStr">
        <is>
          <t>Total Expenses</t>
        </is>
      </c>
      <c r="F3" s="14" t="n"/>
      <c r="G3" s="23" t="inlineStr">
        <is>
          <t>Total Profit</t>
        </is>
      </c>
      <c r="H3" s="14" t="n"/>
      <c r="I3" s="24" t="inlineStr">
        <is>
          <t>Total Loss</t>
        </is>
      </c>
      <c r="J3" s="14" t="n"/>
      <c r="K3" s="25" t="inlineStr">
        <is>
          <t>Net Result</t>
        </is>
      </c>
      <c r="L3" s="14" t="n"/>
      <c r="R3" s="14">
        <f>IFERROR(INDEX($AA$2:$AA$501,MATCH(ROWS($R$2:R3),$AD$2:$AD$501,0)),"")</f>
        <v/>
      </c>
      <c r="S3" s="10">
        <f>IF($R3="","",INDEX($AB$2:$AB$501,MATCH($R3,$AA$2:$AA$501,0)))</f>
        <v/>
      </c>
      <c r="T3" s="14">
        <f>IFERROR(INDEX($AA$2:$AA$501,MATCH(ROWS($T$2:T3),$AE$2:$AE$501,0)),"")</f>
        <v/>
      </c>
      <c r="U3" s="10">
        <f>IF($T3="","",INDEX($AC$2:$AC$501,MATCH($T3,$AA$2:$AA$501,0)))</f>
        <v/>
      </c>
      <c r="AA3">
        <f>IFERROR(INDEX(DailyRouteRecordTable[Route],ROW()-1),"")</f>
        <v/>
      </c>
      <c r="AB3">
        <f>IF(AA3="","",IF(COUNTIF($AA$2:AA3,AA3)&gt;1,0,SUMPRODUCT((DailyRouteRecordTable[Route]=AA3)*(IF($B$6="All",1,IFERROR(--MID(DailyRouteRecordTable[Departure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">
        <f>IF(AA3="","",IF(COUNTIF($AA$2:AA3,AA3)&gt;1,0,SUMPRODUCT((DailyRouteRecordTable[Route]=AA3)*(IF($B$6="All",1,IFERROR(--MID(DailyRouteRecordTable[Departure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">
        <f>IF(AB3&lt;=0,"",RANK(AB3,$AB$2:$AB$501,0)+COUNTIFS($AB$2:AB3,AB3)-1)</f>
        <v/>
      </c>
      <c r="AE3">
        <f>IF(AC3&lt;=0,"",RANK(AC3,$AC$2:$AC$501,0)+COUNTIFS($AC$2:AC3,AC3)-1)</f>
        <v/>
      </c>
    </row>
    <row r="4" ht="24" customHeight="1">
      <c r="A4" s="26">
        <f>SUM('Monthly Summary'!D2:D13)</f>
        <v/>
      </c>
      <c r="B4" s="14" t="n"/>
      <c r="C4" s="27">
        <f>SUM('Monthly Summary'!F2:F13)</f>
        <v/>
      </c>
      <c r="D4" s="14" t="n"/>
      <c r="E4" s="28">
        <f>SUM('Monthly Summary'!E2:E13)</f>
        <v/>
      </c>
      <c r="F4" s="14" t="n"/>
      <c r="G4" s="29">
        <f>SUM('Monthly Summary'!H2:H13)</f>
        <v/>
      </c>
      <c r="H4" s="14" t="n"/>
      <c r="I4" s="30">
        <f>SUM('Monthly Summary'!I2:I13)</f>
        <v/>
      </c>
      <c r="J4" s="14" t="n"/>
      <c r="K4" s="31">
        <f>G4-I4</f>
        <v/>
      </c>
      <c r="L4" s="14" t="n"/>
      <c r="R4" s="14">
        <f>IFERROR(INDEX($AA$2:$AA$501,MATCH(ROWS($R$2:R4),$AD$2:$AD$501,0)),"")</f>
        <v/>
      </c>
      <c r="S4" s="10">
        <f>IF($R4="","",INDEX($AB$2:$AB$501,MATCH($R4,$AA$2:$AA$501,0)))</f>
        <v/>
      </c>
      <c r="T4" s="14">
        <f>IFERROR(INDEX($AA$2:$AA$501,MATCH(ROWS($T$2:T4),$AE$2:$AE$501,0)),"")</f>
        <v/>
      </c>
      <c r="U4" s="10">
        <f>IF($T4="","",INDEX($AC$2:$AC$501,MATCH($T4,$AA$2:$AA$501,0)))</f>
        <v/>
      </c>
      <c r="AA4">
        <f>IFERROR(INDEX(DailyRouteRecordTable[Route],ROW()-1),"")</f>
        <v/>
      </c>
      <c r="AB4">
        <f>IF(AA4="","",IF(COUNTIF($AA$2:AA4,AA4)&gt;1,0,SUMPRODUCT((DailyRouteRecordTable[Route]=AA4)*(IF($B$6="All",1,IFERROR(--MID(DailyRouteRecordTable[Departure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">
        <f>IF(AA4="","",IF(COUNTIF($AA$2:AA4,AA4)&gt;1,0,SUMPRODUCT((DailyRouteRecordTable[Route]=AA4)*(IF($B$6="All",1,IFERROR(--MID(DailyRouteRecordTable[Departure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">
        <f>IF(AB4&lt;=0,"",RANK(AB4,$AB$2:$AB$501,0)+COUNTIFS($AB$2:AB4,AB4)-1)</f>
        <v/>
      </c>
      <c r="AE4">
        <f>IF(AC4&lt;=0,"",RANK(AC4,$AC$2:$AC$501,0)+COUNTIFS($AC$2:AC4,AC4)-1)</f>
        <v/>
      </c>
    </row>
    <row r="5">
      <c r="R5" s="14">
        <f>IFERROR(INDEX($AA$2:$AA$501,MATCH(ROWS($R$2:R5),$AD$2:$AD$501,0)),"")</f>
        <v/>
      </c>
      <c r="S5" s="10">
        <f>IF($R5="","",INDEX($AB$2:$AB$501,MATCH($R5,$AA$2:$AA$501,0)))</f>
        <v/>
      </c>
      <c r="T5" s="14">
        <f>IFERROR(INDEX($AA$2:$AA$501,MATCH(ROWS($T$2:T5),$AE$2:$AE$501,0)),"")</f>
        <v/>
      </c>
      <c r="U5" s="10">
        <f>IF($T5="","",INDEX($AC$2:$AC$501,MATCH($T5,$AA$2:$AA$501,0)))</f>
        <v/>
      </c>
      <c r="AA5">
        <f>IFERROR(INDEX(DailyRouteRecordTable[Route],ROW()-1),"")</f>
        <v/>
      </c>
      <c r="AB5">
        <f>IF(AA5="","",IF(COUNTIF($AA$2:AA5,AA5)&gt;1,0,SUMPRODUCT((DailyRouteRecordTable[Route]=AA5)*(IF($B$6="All",1,IFERROR(--MID(DailyRouteRecordTable[Departure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">
        <f>IF(AA5="","",IF(COUNTIF($AA$2:AA5,AA5)&gt;1,0,SUMPRODUCT((DailyRouteRecordTable[Route]=AA5)*(IF($B$6="All",1,IFERROR(--MID(DailyRouteRecordTable[Departure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">
        <f>IF(AB5&lt;=0,"",RANK(AB5,$AB$2:$AB$501,0)+COUNTIFS($AB$2:AB5,AB5)-1)</f>
        <v/>
      </c>
      <c r="AE5">
        <f>IF(AC5&lt;=0,"",RANK(AC5,$AC$2:$AC$501,0)+COUNTIFS($AC$2:AC5,AC5)-1)</f>
        <v/>
      </c>
    </row>
    <row r="6">
      <c r="A6" s="18" t="inlineStr">
        <is>
          <t>Month Selector</t>
        </is>
      </c>
      <c r="B6" s="19" t="inlineStr">
        <is>
          <t>All</t>
        </is>
      </c>
      <c r="C6" s="32" t="inlineStr">
        <is>
          <t>Pick month to update route-wise charts</t>
        </is>
      </c>
      <c r="R6" s="14">
        <f>IFERROR(INDEX($AA$2:$AA$501,MATCH(ROWS($R$2:R6),$AD$2:$AD$501,0)),"")</f>
        <v/>
      </c>
      <c r="S6" s="10">
        <f>IF($R6="","",INDEX($AB$2:$AB$501,MATCH($R6,$AA$2:$AA$501,0)))</f>
        <v/>
      </c>
      <c r="T6" s="14">
        <f>IFERROR(INDEX($AA$2:$AA$501,MATCH(ROWS($T$2:T6),$AE$2:$AE$501,0)),"")</f>
        <v/>
      </c>
      <c r="U6" s="10">
        <f>IF($T6="","",INDEX($AC$2:$AC$501,MATCH($T6,$AA$2:$AA$501,0)))</f>
        <v/>
      </c>
      <c r="AA6">
        <f>IFERROR(INDEX(DailyRouteRecordTable[Route],ROW()-1),"")</f>
        <v/>
      </c>
      <c r="AB6">
        <f>IF(AA6="","",IF(COUNTIF($AA$2:AA6,AA6)&gt;1,0,SUMPRODUCT((DailyRouteRecordTable[Route]=AA6)*(IF($B$6="All",1,IFERROR(--MID(DailyRouteRecordTable[Departure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">
        <f>IF(AA6="","",IF(COUNTIF($AA$2:AA6,AA6)&gt;1,0,SUMPRODUCT((DailyRouteRecordTable[Route]=AA6)*(IF($B$6="All",1,IFERROR(--MID(DailyRouteRecordTable[Departure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">
        <f>IF(AB6&lt;=0,"",RANK(AB6,$AB$2:$AB$501,0)+COUNTIFS($AB$2:AB6,AB6)-1)</f>
        <v/>
      </c>
      <c r="AE6">
        <f>IF(AC6&lt;=0,"",RANK(AC6,$AC$2:$AC$501,0)+COUNTIFS($AC$2:AC6,AC6)-1)</f>
        <v/>
      </c>
    </row>
    <row r="7">
      <c r="AA7">
        <f>IFERROR(INDEX(DailyRouteRecordTable[Route],ROW()-1),"")</f>
        <v/>
      </c>
      <c r="AB7">
        <f>IF(AA7="","",IF(COUNTIF($AA$2:AA7,AA7)&gt;1,0,SUMPRODUCT((DailyRouteRecordTable[Route]=AA7)*(IF($B$6="All",1,IFERROR(--MID(DailyRouteRecordTable[Departure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">
        <f>IF(AA7="","",IF(COUNTIF($AA$2:AA7,AA7)&gt;1,0,SUMPRODUCT((DailyRouteRecordTable[Route]=AA7)*(IF($B$6="All",1,IFERROR(--MID(DailyRouteRecordTable[Departure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">
        <f>IF(AB7&lt;=0,"",RANK(AB7,$AB$2:$AB$501,0)+COUNTIFS($AB$2:AB7,AB7)-1)</f>
        <v/>
      </c>
      <c r="AE7">
        <f>IF(AC7&lt;=0,"",RANK(AC7,$AC$2:$AC$501,0)+COUNTIFS($AC$2:AC7,AC7)-1)</f>
        <v/>
      </c>
    </row>
    <row r="8">
      <c r="AA8">
        <f>IFERROR(INDEX(DailyRouteRecordTable[Route],ROW()-1),"")</f>
        <v/>
      </c>
      <c r="AB8">
        <f>IF(AA8="","",IF(COUNTIF($AA$2:AA8,AA8)&gt;1,0,SUMPRODUCT((DailyRouteRecordTable[Route]=AA8)*(IF($B$6="All",1,IFERROR(--MID(DailyRouteRecordTable[Departure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">
        <f>IF(AA8="","",IF(COUNTIF($AA$2:AA8,AA8)&gt;1,0,SUMPRODUCT((DailyRouteRecordTable[Route]=AA8)*(IF($B$6="All",1,IFERROR(--MID(DailyRouteRecordTable[Departure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">
        <f>IF(AB8&lt;=0,"",RANK(AB8,$AB$2:$AB$501,0)+COUNTIFS($AB$2:AB8,AB8)-1)</f>
        <v/>
      </c>
      <c r="AE8">
        <f>IF(AC8&lt;=0,"",RANK(AC8,$AC$2:$AC$501,0)+COUNTIFS($AC$2:AC8,AC8)-1)</f>
        <v/>
      </c>
    </row>
    <row r="9">
      <c r="AA9">
        <f>IFERROR(INDEX(DailyRouteRecordTable[Route],ROW()-1),"")</f>
        <v/>
      </c>
      <c r="AB9">
        <f>IF(AA9="","",IF(COUNTIF($AA$2:AA9,AA9)&gt;1,0,SUMPRODUCT((DailyRouteRecordTable[Route]=AA9)*(IF($B$6="All",1,IFERROR(--MID(DailyRouteRecordTable[Departure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">
        <f>IF(AA9="","",IF(COUNTIF($AA$2:AA9,AA9)&gt;1,0,SUMPRODUCT((DailyRouteRecordTable[Route]=AA9)*(IF($B$6="All",1,IFERROR(--MID(DailyRouteRecordTable[Departure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">
        <f>IF(AB9&lt;=0,"",RANK(AB9,$AB$2:$AB$501,0)+COUNTIFS($AB$2:AB9,AB9)-1)</f>
        <v/>
      </c>
      <c r="AE9">
        <f>IF(AC9&lt;=0,"",RANK(AC9,$AC$2:$AC$501,0)+COUNTIFS($AC$2:AC9,AC9)-1)</f>
        <v/>
      </c>
    </row>
    <row r="10">
      <c r="AA10">
        <f>IFERROR(INDEX(DailyRouteRecordTable[Route],ROW()-1),"")</f>
        <v/>
      </c>
      <c r="AB10">
        <f>IF(AA10="","",IF(COUNTIF($AA$2:AA10,AA10)&gt;1,0,SUMPRODUCT((DailyRouteRecordTable[Route]=AA10)*(IF($B$6="All",1,IFERROR(--MID(DailyRouteRecordTable[Departure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">
        <f>IF(AA10="","",IF(COUNTIF($AA$2:AA10,AA10)&gt;1,0,SUMPRODUCT((DailyRouteRecordTable[Route]=AA10)*(IF($B$6="All",1,IFERROR(--MID(DailyRouteRecordTable[Departure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">
        <f>IF(AB10&lt;=0,"",RANK(AB10,$AB$2:$AB$501,0)+COUNTIFS($AB$2:AB10,AB10)-1)</f>
        <v/>
      </c>
      <c r="AE10">
        <f>IF(AC10&lt;=0,"",RANK(AC10,$AC$2:$AC$501,0)+COUNTIFS($AC$2:AC10,AC10)-1)</f>
        <v/>
      </c>
    </row>
    <row r="11">
      <c r="AA11">
        <f>IFERROR(INDEX(DailyRouteRecordTable[Route],ROW()-1),"")</f>
        <v/>
      </c>
      <c r="AB11">
        <f>IF(AA11="","",IF(COUNTIF($AA$2:AA11,AA11)&gt;1,0,SUMPRODUCT((DailyRouteRecordTable[Route]=AA11)*(IF($B$6="All",1,IFERROR(--MID(DailyRouteRecordTable[Departure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">
        <f>IF(AA11="","",IF(COUNTIF($AA$2:AA11,AA11)&gt;1,0,SUMPRODUCT((DailyRouteRecordTable[Route]=AA11)*(IF($B$6="All",1,IFERROR(--MID(DailyRouteRecordTable[Departure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">
        <f>IF(AB11&lt;=0,"",RANK(AB11,$AB$2:$AB$501,0)+COUNTIFS($AB$2:AB11,AB11)-1)</f>
        <v/>
      </c>
      <c r="AE11">
        <f>IF(AC11&lt;=0,"",RANK(AC11,$AC$2:$AC$501,0)+COUNTIFS($AC$2:AC11,AC11)-1)</f>
        <v/>
      </c>
    </row>
    <row r="12">
      <c r="AA12">
        <f>IFERROR(INDEX(DailyRouteRecordTable[Route],ROW()-1),"")</f>
        <v/>
      </c>
      <c r="AB12">
        <f>IF(AA12="","",IF(COUNTIF($AA$2:AA12,AA12)&gt;1,0,SUMPRODUCT((DailyRouteRecordTable[Route]=AA12)*(IF($B$6="All",1,IFERROR(--MID(DailyRouteRecordTable[Departure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">
        <f>IF(AA12="","",IF(COUNTIF($AA$2:AA12,AA12)&gt;1,0,SUMPRODUCT((DailyRouteRecordTable[Route]=AA12)*(IF($B$6="All",1,IFERROR(--MID(DailyRouteRecordTable[Departure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">
        <f>IF(AB12&lt;=0,"",RANK(AB12,$AB$2:$AB$501,0)+COUNTIFS($AB$2:AB12,AB12)-1)</f>
        <v/>
      </c>
      <c r="AE12">
        <f>IF(AC12&lt;=0,"",RANK(AC12,$AC$2:$AC$501,0)+COUNTIFS($AC$2:AC12,AC12)-1)</f>
        <v/>
      </c>
    </row>
    <row r="13">
      <c r="AA13">
        <f>IFERROR(INDEX(DailyRouteRecordTable[Route],ROW()-1),"")</f>
        <v/>
      </c>
      <c r="AB13">
        <f>IF(AA13="","",IF(COUNTIF($AA$2:AA13,AA13)&gt;1,0,SUMPRODUCT((DailyRouteRecordTable[Route]=AA13)*(IF($B$6="All",1,IFERROR(--MID(DailyRouteRecordTable[Departure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">
        <f>IF(AA13="","",IF(COUNTIF($AA$2:AA13,AA13)&gt;1,0,SUMPRODUCT((DailyRouteRecordTable[Route]=AA13)*(IF($B$6="All",1,IFERROR(--MID(DailyRouteRecordTable[Departure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">
        <f>IF(AB13&lt;=0,"",RANK(AB13,$AB$2:$AB$501,0)+COUNTIFS($AB$2:AB13,AB13)-1)</f>
        <v/>
      </c>
      <c r="AE13">
        <f>IF(AC13&lt;=0,"",RANK(AC13,$AC$2:$AC$501,0)+COUNTIFS($AC$2:AC13,AC13)-1)</f>
        <v/>
      </c>
    </row>
    <row r="14">
      <c r="AA14">
        <f>IFERROR(INDEX(DailyRouteRecordTable[Route],ROW()-1),"")</f>
        <v/>
      </c>
      <c r="AB14">
        <f>IF(AA14="","",IF(COUNTIF($AA$2:AA14,AA14)&gt;1,0,SUMPRODUCT((DailyRouteRecordTable[Route]=AA14)*(IF($B$6="All",1,IFERROR(--MID(DailyRouteRecordTable[Departure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">
        <f>IF(AA14="","",IF(COUNTIF($AA$2:AA14,AA14)&gt;1,0,SUMPRODUCT((DailyRouteRecordTable[Route]=AA14)*(IF($B$6="All",1,IFERROR(--MID(DailyRouteRecordTable[Departure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">
        <f>IF(AB14&lt;=0,"",RANK(AB14,$AB$2:$AB$501,0)+COUNTIFS($AB$2:AB14,AB14)-1)</f>
        <v/>
      </c>
      <c r="AE14">
        <f>IF(AC14&lt;=0,"",RANK(AC14,$AC$2:$AC$501,0)+COUNTIFS($AC$2:AC14,AC14)-1)</f>
        <v/>
      </c>
    </row>
    <row r="15">
      <c r="AA15">
        <f>IFERROR(INDEX(DailyRouteRecordTable[Route],ROW()-1),"")</f>
        <v/>
      </c>
      <c r="AB15">
        <f>IF(AA15="","",IF(COUNTIF($AA$2:AA15,AA15)&gt;1,0,SUMPRODUCT((DailyRouteRecordTable[Route]=AA15)*(IF($B$6="All",1,IFERROR(--MID(DailyRouteRecordTable[Departure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">
        <f>IF(AA15="","",IF(COUNTIF($AA$2:AA15,AA15)&gt;1,0,SUMPRODUCT((DailyRouteRecordTable[Route]=AA15)*(IF($B$6="All",1,IFERROR(--MID(DailyRouteRecordTable[Departure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">
        <f>IF(AB15&lt;=0,"",RANK(AB15,$AB$2:$AB$501,0)+COUNTIFS($AB$2:AB15,AB15)-1)</f>
        <v/>
      </c>
      <c r="AE15">
        <f>IF(AC15&lt;=0,"",RANK(AC15,$AC$2:$AC$501,0)+COUNTIFS($AC$2:AC15,AC15)-1)</f>
        <v/>
      </c>
    </row>
    <row r="16">
      <c r="AA16">
        <f>IFERROR(INDEX(DailyRouteRecordTable[Route],ROW()-1),"")</f>
        <v/>
      </c>
      <c r="AB16">
        <f>IF(AA16="","",IF(COUNTIF($AA$2:AA16,AA16)&gt;1,0,SUMPRODUCT((DailyRouteRecordTable[Route]=AA16)*(IF($B$6="All",1,IFERROR(--MID(DailyRouteRecordTable[Departure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">
        <f>IF(AA16="","",IF(COUNTIF($AA$2:AA16,AA16)&gt;1,0,SUMPRODUCT((DailyRouteRecordTable[Route]=AA16)*(IF($B$6="All",1,IFERROR(--MID(DailyRouteRecordTable[Departure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">
        <f>IF(AB16&lt;=0,"",RANK(AB16,$AB$2:$AB$501,0)+COUNTIFS($AB$2:AB16,AB16)-1)</f>
        <v/>
      </c>
      <c r="AE16">
        <f>IF(AC16&lt;=0,"",RANK(AC16,$AC$2:$AC$501,0)+COUNTIFS($AC$2:AC16,AC16)-1)</f>
        <v/>
      </c>
    </row>
    <row r="17">
      <c r="AA17">
        <f>IFERROR(INDEX(DailyRouteRecordTable[Route],ROW()-1),"")</f>
        <v/>
      </c>
      <c r="AB17">
        <f>IF(AA17="","",IF(COUNTIF($AA$2:AA17,AA17)&gt;1,0,SUMPRODUCT((DailyRouteRecordTable[Route]=AA17)*(IF($B$6="All",1,IFERROR(--MID(DailyRouteRecordTable[Departure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">
        <f>IF(AA17="","",IF(COUNTIF($AA$2:AA17,AA17)&gt;1,0,SUMPRODUCT((DailyRouteRecordTable[Route]=AA17)*(IF($B$6="All",1,IFERROR(--MID(DailyRouteRecordTable[Departure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">
        <f>IF(AB17&lt;=0,"",RANK(AB17,$AB$2:$AB$501,0)+COUNTIFS($AB$2:AB17,AB17)-1)</f>
        <v/>
      </c>
      <c r="AE17">
        <f>IF(AC17&lt;=0,"",RANK(AC17,$AC$2:$AC$501,0)+COUNTIFS($AC$2:AC17,AC17)-1)</f>
        <v/>
      </c>
    </row>
    <row r="18">
      <c r="AA18">
        <f>IFERROR(INDEX(DailyRouteRecordTable[Route],ROW()-1),"")</f>
        <v/>
      </c>
      <c r="AB18">
        <f>IF(AA18="","",IF(COUNTIF($AA$2:AA18,AA18)&gt;1,0,SUMPRODUCT((DailyRouteRecordTable[Route]=AA18)*(IF($B$6="All",1,IFERROR(--MID(DailyRouteRecordTable[Departure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">
        <f>IF(AA18="","",IF(COUNTIF($AA$2:AA18,AA18)&gt;1,0,SUMPRODUCT((DailyRouteRecordTable[Route]=AA18)*(IF($B$6="All",1,IFERROR(--MID(DailyRouteRecordTable[Departure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">
        <f>IF(AB18&lt;=0,"",RANK(AB18,$AB$2:$AB$501,0)+COUNTIFS($AB$2:AB18,AB18)-1)</f>
        <v/>
      </c>
      <c r="AE18">
        <f>IF(AC18&lt;=0,"",RANK(AC18,$AC$2:$AC$501,0)+COUNTIFS($AC$2:AC18,AC18)-1)</f>
        <v/>
      </c>
    </row>
    <row r="19">
      <c r="AA19">
        <f>IFERROR(INDEX(DailyRouteRecordTable[Route],ROW()-1),"")</f>
        <v/>
      </c>
      <c r="AB19">
        <f>IF(AA19="","",IF(COUNTIF($AA$2:AA19,AA19)&gt;1,0,SUMPRODUCT((DailyRouteRecordTable[Route]=AA19)*(IF($B$6="All",1,IFERROR(--MID(DailyRouteRecordTable[Departure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">
        <f>IF(AA19="","",IF(COUNTIF($AA$2:AA19,AA19)&gt;1,0,SUMPRODUCT((DailyRouteRecordTable[Route]=AA19)*(IF($B$6="All",1,IFERROR(--MID(DailyRouteRecordTable[Departure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">
        <f>IF(AB19&lt;=0,"",RANK(AB19,$AB$2:$AB$501,0)+COUNTIFS($AB$2:AB19,AB19)-1)</f>
        <v/>
      </c>
      <c r="AE19">
        <f>IF(AC19&lt;=0,"",RANK(AC19,$AC$2:$AC$501,0)+COUNTIFS($AC$2:AC19,AC19)-1)</f>
        <v/>
      </c>
    </row>
    <row r="20">
      <c r="AA20">
        <f>IFERROR(INDEX(DailyRouteRecordTable[Route],ROW()-1),"")</f>
        <v/>
      </c>
      <c r="AB20">
        <f>IF(AA20="","",IF(COUNTIF($AA$2:AA20,AA20)&gt;1,0,SUMPRODUCT((DailyRouteRecordTable[Route]=AA20)*(IF($B$6="All",1,IFERROR(--MID(DailyRouteRecordTable[Departure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">
        <f>IF(AA20="","",IF(COUNTIF($AA$2:AA20,AA20)&gt;1,0,SUMPRODUCT((DailyRouteRecordTable[Route]=AA20)*(IF($B$6="All",1,IFERROR(--MID(DailyRouteRecordTable[Departure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">
        <f>IF(AB20&lt;=0,"",RANK(AB20,$AB$2:$AB$501,0)+COUNTIFS($AB$2:AB20,AB20)-1)</f>
        <v/>
      </c>
      <c r="AE20">
        <f>IF(AC20&lt;=0,"",RANK(AC20,$AC$2:$AC$501,0)+COUNTIFS($AC$2:AC20,AC20)-1)</f>
        <v/>
      </c>
    </row>
    <row r="21">
      <c r="AA21">
        <f>IFERROR(INDEX(DailyRouteRecordTable[Route],ROW()-1),"")</f>
        <v/>
      </c>
      <c r="AB21">
        <f>IF(AA21="","",IF(COUNTIF($AA$2:AA21,AA21)&gt;1,0,SUMPRODUCT((DailyRouteRecordTable[Route]=AA21)*(IF($B$6="All",1,IFERROR(--MID(DailyRouteRecordTable[Departure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">
        <f>IF(AA21="","",IF(COUNTIF($AA$2:AA21,AA21)&gt;1,0,SUMPRODUCT((DailyRouteRecordTable[Route]=AA21)*(IF($B$6="All",1,IFERROR(--MID(DailyRouteRecordTable[Departure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">
        <f>IF(AB21&lt;=0,"",RANK(AB21,$AB$2:$AB$501,0)+COUNTIFS($AB$2:AB21,AB21)-1)</f>
        <v/>
      </c>
      <c r="AE21">
        <f>IF(AC21&lt;=0,"",RANK(AC21,$AC$2:$AC$501,0)+COUNTIFS($AC$2:AC21,AC21)-1)</f>
        <v/>
      </c>
    </row>
    <row r="22">
      <c r="AA22">
        <f>IFERROR(INDEX(DailyRouteRecordTable[Route],ROW()-1),"")</f>
        <v/>
      </c>
      <c r="AB22">
        <f>IF(AA22="","",IF(COUNTIF($AA$2:AA22,AA22)&gt;1,0,SUMPRODUCT((DailyRouteRecordTable[Route]=AA22)*(IF($B$6="All",1,IFERROR(--MID(DailyRouteRecordTable[Departure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">
        <f>IF(AA22="","",IF(COUNTIF($AA$2:AA22,AA22)&gt;1,0,SUMPRODUCT((DailyRouteRecordTable[Route]=AA22)*(IF($B$6="All",1,IFERROR(--MID(DailyRouteRecordTable[Departure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">
        <f>IF(AB22&lt;=0,"",RANK(AB22,$AB$2:$AB$501,0)+COUNTIFS($AB$2:AB22,AB22)-1)</f>
        <v/>
      </c>
      <c r="AE22">
        <f>IF(AC22&lt;=0,"",RANK(AC22,$AC$2:$AC$501,0)+COUNTIFS($AC$2:AC22,AC22)-1)</f>
        <v/>
      </c>
    </row>
    <row r="23">
      <c r="AA23">
        <f>IFERROR(INDEX(DailyRouteRecordTable[Route],ROW()-1),"")</f>
        <v/>
      </c>
      <c r="AB23">
        <f>IF(AA23="","",IF(COUNTIF($AA$2:AA23,AA23)&gt;1,0,SUMPRODUCT((DailyRouteRecordTable[Route]=AA23)*(IF($B$6="All",1,IFERROR(--MID(DailyRouteRecordTable[Departure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">
        <f>IF(AA23="","",IF(COUNTIF($AA$2:AA23,AA23)&gt;1,0,SUMPRODUCT((DailyRouteRecordTable[Route]=AA23)*(IF($B$6="All",1,IFERROR(--MID(DailyRouteRecordTable[Departure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">
        <f>IF(AB23&lt;=0,"",RANK(AB23,$AB$2:$AB$501,0)+COUNTIFS($AB$2:AB23,AB23)-1)</f>
        <v/>
      </c>
      <c r="AE23">
        <f>IF(AC23&lt;=0,"",RANK(AC23,$AC$2:$AC$501,0)+COUNTIFS($AC$2:AC23,AC23)-1)</f>
        <v/>
      </c>
    </row>
    <row r="24">
      <c r="AA24">
        <f>IFERROR(INDEX(DailyRouteRecordTable[Route],ROW()-1),"")</f>
        <v/>
      </c>
      <c r="AB24">
        <f>IF(AA24="","",IF(COUNTIF($AA$2:AA24,AA24)&gt;1,0,SUMPRODUCT((DailyRouteRecordTable[Route]=AA24)*(IF($B$6="All",1,IFERROR(--MID(DailyRouteRecordTable[Departure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">
        <f>IF(AA24="","",IF(COUNTIF($AA$2:AA24,AA24)&gt;1,0,SUMPRODUCT((DailyRouteRecordTable[Route]=AA24)*(IF($B$6="All",1,IFERROR(--MID(DailyRouteRecordTable[Departure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">
        <f>IF(AB24&lt;=0,"",RANK(AB24,$AB$2:$AB$501,0)+COUNTIFS($AB$2:AB24,AB24)-1)</f>
        <v/>
      </c>
      <c r="AE24">
        <f>IF(AC24&lt;=0,"",RANK(AC24,$AC$2:$AC$501,0)+COUNTIFS($AC$2:AC24,AC24)-1)</f>
        <v/>
      </c>
    </row>
    <row r="25">
      <c r="AA25">
        <f>IFERROR(INDEX(DailyRouteRecordTable[Route],ROW()-1),"")</f>
        <v/>
      </c>
      <c r="AB25">
        <f>IF(AA25="","",IF(COUNTIF($AA$2:AA25,AA25)&gt;1,0,SUMPRODUCT((DailyRouteRecordTable[Route]=AA25)*(IF($B$6="All",1,IFERROR(--MID(DailyRouteRecordTable[Departure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">
        <f>IF(AA25="","",IF(COUNTIF($AA$2:AA25,AA25)&gt;1,0,SUMPRODUCT((DailyRouteRecordTable[Route]=AA25)*(IF($B$6="All",1,IFERROR(--MID(DailyRouteRecordTable[Departure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">
        <f>IF(AB25&lt;=0,"",RANK(AB25,$AB$2:$AB$501,0)+COUNTIFS($AB$2:AB25,AB25)-1)</f>
        <v/>
      </c>
      <c r="AE25">
        <f>IF(AC25&lt;=0,"",RANK(AC25,$AC$2:$AC$501,0)+COUNTIFS($AC$2:AC25,AC25)-1)</f>
        <v/>
      </c>
    </row>
    <row r="26">
      <c r="AA26">
        <f>IFERROR(INDEX(DailyRouteRecordTable[Route],ROW()-1),"")</f>
        <v/>
      </c>
      <c r="AB26">
        <f>IF(AA26="","",IF(COUNTIF($AA$2:AA26,AA26)&gt;1,0,SUMPRODUCT((DailyRouteRecordTable[Route]=AA26)*(IF($B$6="All",1,IFERROR(--MID(DailyRouteRecordTable[Departure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">
        <f>IF(AA26="","",IF(COUNTIF($AA$2:AA26,AA26)&gt;1,0,SUMPRODUCT((DailyRouteRecordTable[Route]=AA26)*(IF($B$6="All",1,IFERROR(--MID(DailyRouteRecordTable[Departure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">
        <f>IF(AB26&lt;=0,"",RANK(AB26,$AB$2:$AB$501,0)+COUNTIFS($AB$2:AB26,AB26)-1)</f>
        <v/>
      </c>
      <c r="AE26">
        <f>IF(AC26&lt;=0,"",RANK(AC26,$AC$2:$AC$501,0)+COUNTIFS($AC$2:AC26,AC26)-1)</f>
        <v/>
      </c>
    </row>
    <row r="27">
      <c r="AA27">
        <f>IFERROR(INDEX(DailyRouteRecordTable[Route],ROW()-1),"")</f>
        <v/>
      </c>
      <c r="AB27">
        <f>IF(AA27="","",IF(COUNTIF($AA$2:AA27,AA27)&gt;1,0,SUMPRODUCT((DailyRouteRecordTable[Route]=AA27)*(IF($B$6="All",1,IFERROR(--MID(DailyRouteRecordTable[Departure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">
        <f>IF(AA27="","",IF(COUNTIF($AA$2:AA27,AA27)&gt;1,0,SUMPRODUCT((DailyRouteRecordTable[Route]=AA27)*(IF($B$6="All",1,IFERROR(--MID(DailyRouteRecordTable[Departure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">
        <f>IF(AB27&lt;=0,"",RANK(AB27,$AB$2:$AB$501,0)+COUNTIFS($AB$2:AB27,AB27)-1)</f>
        <v/>
      </c>
      <c r="AE27">
        <f>IF(AC27&lt;=0,"",RANK(AC27,$AC$2:$AC$501,0)+COUNTIFS($AC$2:AC27,AC27)-1)</f>
        <v/>
      </c>
    </row>
    <row r="28">
      <c r="AA28">
        <f>IFERROR(INDEX(DailyRouteRecordTable[Route],ROW()-1),"")</f>
        <v/>
      </c>
      <c r="AB28">
        <f>IF(AA28="","",IF(COUNTIF($AA$2:AA28,AA28)&gt;1,0,SUMPRODUCT((DailyRouteRecordTable[Route]=AA28)*(IF($B$6="All",1,IFERROR(--MID(DailyRouteRecordTable[Departure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">
        <f>IF(AA28="","",IF(COUNTIF($AA$2:AA28,AA28)&gt;1,0,SUMPRODUCT((DailyRouteRecordTable[Route]=AA28)*(IF($B$6="All",1,IFERROR(--MID(DailyRouteRecordTable[Departure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">
        <f>IF(AB28&lt;=0,"",RANK(AB28,$AB$2:$AB$501,0)+COUNTIFS($AB$2:AB28,AB28)-1)</f>
        <v/>
      </c>
      <c r="AE28">
        <f>IF(AC28&lt;=0,"",RANK(AC28,$AC$2:$AC$501,0)+COUNTIFS($AC$2:AC28,AC28)-1)</f>
        <v/>
      </c>
    </row>
    <row r="29">
      <c r="AA29">
        <f>IFERROR(INDEX(DailyRouteRecordTable[Route],ROW()-1),"")</f>
        <v/>
      </c>
      <c r="AB29">
        <f>IF(AA29="","",IF(COUNTIF($AA$2:AA29,AA29)&gt;1,0,SUMPRODUCT((DailyRouteRecordTable[Route]=AA29)*(IF($B$6="All",1,IFERROR(--MID(DailyRouteRecordTable[Departure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">
        <f>IF(AA29="","",IF(COUNTIF($AA$2:AA29,AA29)&gt;1,0,SUMPRODUCT((DailyRouteRecordTable[Route]=AA29)*(IF($B$6="All",1,IFERROR(--MID(DailyRouteRecordTable[Departure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">
        <f>IF(AB29&lt;=0,"",RANK(AB29,$AB$2:$AB$501,0)+COUNTIFS($AB$2:AB29,AB29)-1)</f>
        <v/>
      </c>
      <c r="AE29">
        <f>IF(AC29&lt;=0,"",RANK(AC29,$AC$2:$AC$501,0)+COUNTIFS($AC$2:AC29,AC29)-1)</f>
        <v/>
      </c>
    </row>
    <row r="30">
      <c r="AA30">
        <f>IFERROR(INDEX(DailyRouteRecordTable[Route],ROW()-1),"")</f>
        <v/>
      </c>
      <c r="AB30">
        <f>IF(AA30="","",IF(COUNTIF($AA$2:AA30,AA30)&gt;1,0,SUMPRODUCT((DailyRouteRecordTable[Route]=AA30)*(IF($B$6="All",1,IFERROR(--MID(DailyRouteRecordTable[Departure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">
        <f>IF(AA30="","",IF(COUNTIF($AA$2:AA30,AA30)&gt;1,0,SUMPRODUCT((DailyRouteRecordTable[Route]=AA30)*(IF($B$6="All",1,IFERROR(--MID(DailyRouteRecordTable[Departure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">
        <f>IF(AB30&lt;=0,"",RANK(AB30,$AB$2:$AB$501,0)+COUNTIFS($AB$2:AB30,AB30)-1)</f>
        <v/>
      </c>
      <c r="AE30">
        <f>IF(AC30&lt;=0,"",RANK(AC30,$AC$2:$AC$501,0)+COUNTIFS($AC$2:AC30,AC30)-1)</f>
        <v/>
      </c>
    </row>
    <row r="31">
      <c r="AA31">
        <f>IFERROR(INDEX(DailyRouteRecordTable[Route],ROW()-1),"")</f>
        <v/>
      </c>
      <c r="AB31">
        <f>IF(AA31="","",IF(COUNTIF($AA$2:AA31,AA31)&gt;1,0,SUMPRODUCT((DailyRouteRecordTable[Route]=AA31)*(IF($B$6="All",1,IFERROR(--MID(DailyRouteRecordTable[Departure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">
        <f>IF(AA31="","",IF(COUNTIF($AA$2:AA31,AA31)&gt;1,0,SUMPRODUCT((DailyRouteRecordTable[Route]=AA31)*(IF($B$6="All",1,IFERROR(--MID(DailyRouteRecordTable[Departure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">
        <f>IF(AB31&lt;=0,"",RANK(AB31,$AB$2:$AB$501,0)+COUNTIFS($AB$2:AB31,AB31)-1)</f>
        <v/>
      </c>
      <c r="AE31">
        <f>IF(AC31&lt;=0,"",RANK(AC31,$AC$2:$AC$501,0)+COUNTIFS($AC$2:AC31,AC31)-1)</f>
        <v/>
      </c>
    </row>
    <row r="32">
      <c r="AA32">
        <f>IFERROR(INDEX(DailyRouteRecordTable[Route],ROW()-1),"")</f>
        <v/>
      </c>
      <c r="AB32">
        <f>IF(AA32="","",IF(COUNTIF($AA$2:AA32,AA32)&gt;1,0,SUMPRODUCT((DailyRouteRecordTable[Route]=AA32)*(IF($B$6="All",1,IFERROR(--MID(DailyRouteRecordTable[Departure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">
        <f>IF(AA32="","",IF(COUNTIF($AA$2:AA32,AA32)&gt;1,0,SUMPRODUCT((DailyRouteRecordTable[Route]=AA32)*(IF($B$6="All",1,IFERROR(--MID(DailyRouteRecordTable[Departure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">
        <f>IF(AB32&lt;=0,"",RANK(AB32,$AB$2:$AB$501,0)+COUNTIFS($AB$2:AB32,AB32)-1)</f>
        <v/>
      </c>
      <c r="AE32">
        <f>IF(AC32&lt;=0,"",RANK(AC32,$AC$2:$AC$501,0)+COUNTIFS($AC$2:AC32,AC32)-1)</f>
        <v/>
      </c>
    </row>
    <row r="33">
      <c r="AA33">
        <f>IFERROR(INDEX(DailyRouteRecordTable[Route],ROW()-1),"")</f>
        <v/>
      </c>
      <c r="AB33">
        <f>IF(AA33="","",IF(COUNTIF($AA$2:AA33,AA33)&gt;1,0,SUMPRODUCT((DailyRouteRecordTable[Route]=AA33)*(IF($B$6="All",1,IFERROR(--MID(DailyRouteRecordTable[Departure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">
        <f>IF(AA33="","",IF(COUNTIF($AA$2:AA33,AA33)&gt;1,0,SUMPRODUCT((DailyRouteRecordTable[Route]=AA33)*(IF($B$6="All",1,IFERROR(--MID(DailyRouteRecordTable[Departure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">
        <f>IF(AB33&lt;=0,"",RANK(AB33,$AB$2:$AB$501,0)+COUNTIFS($AB$2:AB33,AB33)-1)</f>
        <v/>
      </c>
      <c r="AE33">
        <f>IF(AC33&lt;=0,"",RANK(AC33,$AC$2:$AC$501,0)+COUNTIFS($AC$2:AC33,AC33)-1)</f>
        <v/>
      </c>
    </row>
    <row r="34">
      <c r="AA34">
        <f>IFERROR(INDEX(DailyRouteRecordTable[Route],ROW()-1),"")</f>
        <v/>
      </c>
      <c r="AB34">
        <f>IF(AA34="","",IF(COUNTIF($AA$2:AA34,AA34)&gt;1,0,SUMPRODUCT((DailyRouteRecordTable[Route]=AA34)*(IF($B$6="All",1,IFERROR(--MID(DailyRouteRecordTable[Departure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">
        <f>IF(AA34="","",IF(COUNTIF($AA$2:AA34,AA34)&gt;1,0,SUMPRODUCT((DailyRouteRecordTable[Route]=AA34)*(IF($B$6="All",1,IFERROR(--MID(DailyRouteRecordTable[Departure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">
        <f>IF(AB34&lt;=0,"",RANK(AB34,$AB$2:$AB$501,0)+COUNTIFS($AB$2:AB34,AB34)-1)</f>
        <v/>
      </c>
      <c r="AE34">
        <f>IF(AC34&lt;=0,"",RANK(AC34,$AC$2:$AC$501,0)+COUNTIFS($AC$2:AC34,AC34)-1)</f>
        <v/>
      </c>
    </row>
    <row r="35">
      <c r="AA35">
        <f>IFERROR(INDEX(DailyRouteRecordTable[Route],ROW()-1),"")</f>
        <v/>
      </c>
      <c r="AB35">
        <f>IF(AA35="","",IF(COUNTIF($AA$2:AA35,AA35)&gt;1,0,SUMPRODUCT((DailyRouteRecordTable[Route]=AA35)*(IF($B$6="All",1,IFERROR(--MID(DailyRouteRecordTable[Departure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">
        <f>IF(AA35="","",IF(COUNTIF($AA$2:AA35,AA35)&gt;1,0,SUMPRODUCT((DailyRouteRecordTable[Route]=AA35)*(IF($B$6="All",1,IFERROR(--MID(DailyRouteRecordTable[Departure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">
        <f>IF(AB35&lt;=0,"",RANK(AB35,$AB$2:$AB$501,0)+COUNTIFS($AB$2:AB35,AB35)-1)</f>
        <v/>
      </c>
      <c r="AE35">
        <f>IF(AC35&lt;=0,"",RANK(AC35,$AC$2:$AC$501,0)+COUNTIFS($AC$2:AC35,AC35)-1)</f>
        <v/>
      </c>
    </row>
    <row r="36">
      <c r="AA36">
        <f>IFERROR(INDEX(DailyRouteRecordTable[Route],ROW()-1),"")</f>
        <v/>
      </c>
      <c r="AB36">
        <f>IF(AA36="","",IF(COUNTIF($AA$2:AA36,AA36)&gt;1,0,SUMPRODUCT((DailyRouteRecordTable[Route]=AA36)*(IF($B$6="All",1,IFERROR(--MID(DailyRouteRecordTable[Departure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">
        <f>IF(AA36="","",IF(COUNTIF($AA$2:AA36,AA36)&gt;1,0,SUMPRODUCT((DailyRouteRecordTable[Route]=AA36)*(IF($B$6="All",1,IFERROR(--MID(DailyRouteRecordTable[Departure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">
        <f>IF(AB36&lt;=0,"",RANK(AB36,$AB$2:$AB$501,0)+COUNTIFS($AB$2:AB36,AB36)-1)</f>
        <v/>
      </c>
      <c r="AE36">
        <f>IF(AC36&lt;=0,"",RANK(AC36,$AC$2:$AC$501,0)+COUNTIFS($AC$2:AC36,AC36)-1)</f>
        <v/>
      </c>
    </row>
    <row r="37">
      <c r="AA37">
        <f>IFERROR(INDEX(DailyRouteRecordTable[Route],ROW()-1),"")</f>
        <v/>
      </c>
      <c r="AB37">
        <f>IF(AA37="","",IF(COUNTIF($AA$2:AA37,AA37)&gt;1,0,SUMPRODUCT((DailyRouteRecordTable[Route]=AA37)*(IF($B$6="All",1,IFERROR(--MID(DailyRouteRecordTable[Departure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">
        <f>IF(AA37="","",IF(COUNTIF($AA$2:AA37,AA37)&gt;1,0,SUMPRODUCT((DailyRouteRecordTable[Route]=AA37)*(IF($B$6="All",1,IFERROR(--MID(DailyRouteRecordTable[Departure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">
        <f>IF(AB37&lt;=0,"",RANK(AB37,$AB$2:$AB$501,0)+COUNTIFS($AB$2:AB37,AB37)-1)</f>
        <v/>
      </c>
      <c r="AE37">
        <f>IF(AC37&lt;=0,"",RANK(AC37,$AC$2:$AC$501,0)+COUNTIFS($AC$2:AC37,AC37)-1)</f>
        <v/>
      </c>
    </row>
    <row r="38">
      <c r="AA38">
        <f>IFERROR(INDEX(DailyRouteRecordTable[Route],ROW()-1),"")</f>
        <v/>
      </c>
      <c r="AB38">
        <f>IF(AA38="","",IF(COUNTIF($AA$2:AA38,AA38)&gt;1,0,SUMPRODUCT((DailyRouteRecordTable[Route]=AA38)*(IF($B$6="All",1,IFERROR(--MID(DailyRouteRecordTable[Departure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">
        <f>IF(AA38="","",IF(COUNTIF($AA$2:AA38,AA38)&gt;1,0,SUMPRODUCT((DailyRouteRecordTable[Route]=AA38)*(IF($B$6="All",1,IFERROR(--MID(DailyRouteRecordTable[Departure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">
        <f>IF(AB38&lt;=0,"",RANK(AB38,$AB$2:$AB$501,0)+COUNTIFS($AB$2:AB38,AB38)-1)</f>
        <v/>
      </c>
      <c r="AE38">
        <f>IF(AC38&lt;=0,"",RANK(AC38,$AC$2:$AC$501,0)+COUNTIFS($AC$2:AC38,AC38)-1)</f>
        <v/>
      </c>
    </row>
    <row r="39">
      <c r="AA39">
        <f>IFERROR(INDEX(DailyRouteRecordTable[Route],ROW()-1),"")</f>
        <v/>
      </c>
      <c r="AB39">
        <f>IF(AA39="","",IF(COUNTIF($AA$2:AA39,AA39)&gt;1,0,SUMPRODUCT((DailyRouteRecordTable[Route]=AA39)*(IF($B$6="All",1,IFERROR(--MID(DailyRouteRecordTable[Departure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">
        <f>IF(AA39="","",IF(COUNTIF($AA$2:AA39,AA39)&gt;1,0,SUMPRODUCT((DailyRouteRecordTable[Route]=AA39)*(IF($B$6="All",1,IFERROR(--MID(DailyRouteRecordTable[Departure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">
        <f>IF(AB39&lt;=0,"",RANK(AB39,$AB$2:$AB$501,0)+COUNTIFS($AB$2:AB39,AB39)-1)</f>
        <v/>
      </c>
      <c r="AE39">
        <f>IF(AC39&lt;=0,"",RANK(AC39,$AC$2:$AC$501,0)+COUNTIFS($AC$2:AC39,AC39)-1)</f>
        <v/>
      </c>
    </row>
    <row r="40">
      <c r="AA40">
        <f>IFERROR(INDEX(DailyRouteRecordTable[Route],ROW()-1),"")</f>
        <v/>
      </c>
      <c r="AB40">
        <f>IF(AA40="","",IF(COUNTIF($AA$2:AA40,AA40)&gt;1,0,SUMPRODUCT((DailyRouteRecordTable[Route]=AA40)*(IF($B$6="All",1,IFERROR(--MID(DailyRouteRecordTable[Departure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">
        <f>IF(AA40="","",IF(COUNTIF($AA$2:AA40,AA40)&gt;1,0,SUMPRODUCT((DailyRouteRecordTable[Route]=AA40)*(IF($B$6="All",1,IFERROR(--MID(DailyRouteRecordTable[Departure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">
        <f>IF(AB40&lt;=0,"",RANK(AB40,$AB$2:$AB$501,0)+COUNTIFS($AB$2:AB40,AB40)-1)</f>
        <v/>
      </c>
      <c r="AE40">
        <f>IF(AC40&lt;=0,"",RANK(AC40,$AC$2:$AC$501,0)+COUNTIFS($AC$2:AC40,AC40)-1)</f>
        <v/>
      </c>
    </row>
    <row r="41">
      <c r="AA41">
        <f>IFERROR(INDEX(DailyRouteRecordTable[Route],ROW()-1),"")</f>
        <v/>
      </c>
      <c r="AB41">
        <f>IF(AA41="","",IF(COUNTIF($AA$2:AA41,AA41)&gt;1,0,SUMPRODUCT((DailyRouteRecordTable[Route]=AA41)*(IF($B$6="All",1,IFERROR(--MID(DailyRouteRecordTable[Departure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">
        <f>IF(AA41="","",IF(COUNTIF($AA$2:AA41,AA41)&gt;1,0,SUMPRODUCT((DailyRouteRecordTable[Route]=AA41)*(IF($B$6="All",1,IFERROR(--MID(DailyRouteRecordTable[Departure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">
        <f>IF(AB41&lt;=0,"",RANK(AB41,$AB$2:$AB$501,0)+COUNTIFS($AB$2:AB41,AB41)-1)</f>
        <v/>
      </c>
      <c r="AE41">
        <f>IF(AC41&lt;=0,"",RANK(AC41,$AC$2:$AC$501,0)+COUNTIFS($AC$2:AC41,AC41)-1)</f>
        <v/>
      </c>
    </row>
    <row r="42">
      <c r="AA42">
        <f>IFERROR(INDEX(DailyRouteRecordTable[Route],ROW()-1),"")</f>
        <v/>
      </c>
      <c r="AB42">
        <f>IF(AA42="","",IF(COUNTIF($AA$2:AA42,AA42)&gt;1,0,SUMPRODUCT((DailyRouteRecordTable[Route]=AA42)*(IF($B$6="All",1,IFERROR(--MID(DailyRouteRecordTable[Departure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">
        <f>IF(AA42="","",IF(COUNTIF($AA$2:AA42,AA42)&gt;1,0,SUMPRODUCT((DailyRouteRecordTable[Route]=AA42)*(IF($B$6="All",1,IFERROR(--MID(DailyRouteRecordTable[Departure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">
        <f>IF(AB42&lt;=0,"",RANK(AB42,$AB$2:$AB$501,0)+COUNTIFS($AB$2:AB42,AB42)-1)</f>
        <v/>
      </c>
      <c r="AE42">
        <f>IF(AC42&lt;=0,"",RANK(AC42,$AC$2:$AC$501,0)+COUNTIFS($AC$2:AC42,AC42)-1)</f>
        <v/>
      </c>
    </row>
    <row r="43">
      <c r="AA43">
        <f>IFERROR(INDEX(DailyRouteRecordTable[Route],ROW()-1),"")</f>
        <v/>
      </c>
      <c r="AB43">
        <f>IF(AA43="","",IF(COUNTIF($AA$2:AA43,AA43)&gt;1,0,SUMPRODUCT((DailyRouteRecordTable[Route]=AA43)*(IF($B$6="All",1,IFERROR(--MID(DailyRouteRecordTable[Departure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">
        <f>IF(AA43="","",IF(COUNTIF($AA$2:AA43,AA43)&gt;1,0,SUMPRODUCT((DailyRouteRecordTable[Route]=AA43)*(IF($B$6="All",1,IFERROR(--MID(DailyRouteRecordTable[Departure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">
        <f>IF(AB43&lt;=0,"",RANK(AB43,$AB$2:$AB$501,0)+COUNTIFS($AB$2:AB43,AB43)-1)</f>
        <v/>
      </c>
      <c r="AE43">
        <f>IF(AC43&lt;=0,"",RANK(AC43,$AC$2:$AC$501,0)+COUNTIFS($AC$2:AC43,AC43)-1)</f>
        <v/>
      </c>
    </row>
    <row r="44">
      <c r="AA44">
        <f>IFERROR(INDEX(DailyRouteRecordTable[Route],ROW()-1),"")</f>
        <v/>
      </c>
      <c r="AB44">
        <f>IF(AA44="","",IF(COUNTIF($AA$2:AA44,AA44)&gt;1,0,SUMPRODUCT((DailyRouteRecordTable[Route]=AA44)*(IF($B$6="All",1,IFERROR(--MID(DailyRouteRecordTable[Departure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">
        <f>IF(AA44="","",IF(COUNTIF($AA$2:AA44,AA44)&gt;1,0,SUMPRODUCT((DailyRouteRecordTable[Route]=AA44)*(IF($B$6="All",1,IFERROR(--MID(DailyRouteRecordTable[Departure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">
        <f>IF(AB44&lt;=0,"",RANK(AB44,$AB$2:$AB$501,0)+COUNTIFS($AB$2:AB44,AB44)-1)</f>
        <v/>
      </c>
      <c r="AE44">
        <f>IF(AC44&lt;=0,"",RANK(AC44,$AC$2:$AC$501,0)+COUNTIFS($AC$2:AC44,AC44)-1)</f>
        <v/>
      </c>
    </row>
    <row r="45">
      <c r="AA45">
        <f>IFERROR(INDEX(DailyRouteRecordTable[Route],ROW()-1),"")</f>
        <v/>
      </c>
      <c r="AB45">
        <f>IF(AA45="","",IF(COUNTIF($AA$2:AA45,AA45)&gt;1,0,SUMPRODUCT((DailyRouteRecordTable[Route]=AA45)*(IF($B$6="All",1,IFERROR(--MID(DailyRouteRecordTable[Departure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">
        <f>IF(AA45="","",IF(COUNTIF($AA$2:AA45,AA45)&gt;1,0,SUMPRODUCT((DailyRouteRecordTable[Route]=AA45)*(IF($B$6="All",1,IFERROR(--MID(DailyRouteRecordTable[Departure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">
        <f>IF(AB45&lt;=0,"",RANK(AB45,$AB$2:$AB$501,0)+COUNTIFS($AB$2:AB45,AB45)-1)</f>
        <v/>
      </c>
      <c r="AE45">
        <f>IF(AC45&lt;=0,"",RANK(AC45,$AC$2:$AC$501,0)+COUNTIFS($AC$2:AC45,AC45)-1)</f>
        <v/>
      </c>
    </row>
    <row r="46">
      <c r="AA46">
        <f>IFERROR(INDEX(DailyRouteRecordTable[Route],ROW()-1),"")</f>
        <v/>
      </c>
      <c r="AB46">
        <f>IF(AA46="","",IF(COUNTIF($AA$2:AA46,AA46)&gt;1,0,SUMPRODUCT((DailyRouteRecordTable[Route]=AA46)*(IF($B$6="All",1,IFERROR(--MID(DailyRouteRecordTable[Departure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">
        <f>IF(AA46="","",IF(COUNTIF($AA$2:AA46,AA46)&gt;1,0,SUMPRODUCT((DailyRouteRecordTable[Route]=AA46)*(IF($B$6="All",1,IFERROR(--MID(DailyRouteRecordTable[Departure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">
        <f>IF(AB46&lt;=0,"",RANK(AB46,$AB$2:$AB$501,0)+COUNTIFS($AB$2:AB46,AB46)-1)</f>
        <v/>
      </c>
      <c r="AE46">
        <f>IF(AC46&lt;=0,"",RANK(AC46,$AC$2:$AC$501,0)+COUNTIFS($AC$2:AC46,AC46)-1)</f>
        <v/>
      </c>
    </row>
    <row r="47">
      <c r="AA47">
        <f>IFERROR(INDEX(DailyRouteRecordTable[Route],ROW()-1),"")</f>
        <v/>
      </c>
      <c r="AB47">
        <f>IF(AA47="","",IF(COUNTIF($AA$2:AA47,AA47)&gt;1,0,SUMPRODUCT((DailyRouteRecordTable[Route]=AA47)*(IF($B$6="All",1,IFERROR(--MID(DailyRouteRecordTable[Departure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">
        <f>IF(AA47="","",IF(COUNTIF($AA$2:AA47,AA47)&gt;1,0,SUMPRODUCT((DailyRouteRecordTable[Route]=AA47)*(IF($B$6="All",1,IFERROR(--MID(DailyRouteRecordTable[Departure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">
        <f>IF(AB47&lt;=0,"",RANK(AB47,$AB$2:$AB$501,0)+COUNTIFS($AB$2:AB47,AB47)-1)</f>
        <v/>
      </c>
      <c r="AE47">
        <f>IF(AC47&lt;=0,"",RANK(AC47,$AC$2:$AC$501,0)+COUNTIFS($AC$2:AC47,AC47)-1)</f>
        <v/>
      </c>
    </row>
    <row r="48">
      <c r="AA48">
        <f>IFERROR(INDEX(DailyRouteRecordTable[Route],ROW()-1),"")</f>
        <v/>
      </c>
      <c r="AB48">
        <f>IF(AA48="","",IF(COUNTIF($AA$2:AA48,AA48)&gt;1,0,SUMPRODUCT((DailyRouteRecordTable[Route]=AA48)*(IF($B$6="All",1,IFERROR(--MID(DailyRouteRecordTable[Departure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">
        <f>IF(AA48="","",IF(COUNTIF($AA$2:AA48,AA48)&gt;1,0,SUMPRODUCT((DailyRouteRecordTable[Route]=AA48)*(IF($B$6="All",1,IFERROR(--MID(DailyRouteRecordTable[Departure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">
        <f>IF(AB48&lt;=0,"",RANK(AB48,$AB$2:$AB$501,0)+COUNTIFS($AB$2:AB48,AB48)-1)</f>
        <v/>
      </c>
      <c r="AE48">
        <f>IF(AC48&lt;=0,"",RANK(AC48,$AC$2:$AC$501,0)+COUNTIFS($AC$2:AC48,AC48)-1)</f>
        <v/>
      </c>
    </row>
    <row r="49">
      <c r="AA49">
        <f>IFERROR(INDEX(DailyRouteRecordTable[Route],ROW()-1),"")</f>
        <v/>
      </c>
      <c r="AB49">
        <f>IF(AA49="","",IF(COUNTIF($AA$2:AA49,AA49)&gt;1,0,SUMPRODUCT((DailyRouteRecordTable[Route]=AA49)*(IF($B$6="All",1,IFERROR(--MID(DailyRouteRecordTable[Departure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">
        <f>IF(AA49="","",IF(COUNTIF($AA$2:AA49,AA49)&gt;1,0,SUMPRODUCT((DailyRouteRecordTable[Route]=AA49)*(IF($B$6="All",1,IFERROR(--MID(DailyRouteRecordTable[Departure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">
        <f>IF(AB49&lt;=0,"",RANK(AB49,$AB$2:$AB$501,0)+COUNTIFS($AB$2:AB49,AB49)-1)</f>
        <v/>
      </c>
      <c r="AE49">
        <f>IF(AC49&lt;=0,"",RANK(AC49,$AC$2:$AC$501,0)+COUNTIFS($AC$2:AC49,AC49)-1)</f>
        <v/>
      </c>
    </row>
    <row r="50">
      <c r="AA50">
        <f>IFERROR(INDEX(DailyRouteRecordTable[Route],ROW()-1),"")</f>
        <v/>
      </c>
      <c r="AB50">
        <f>IF(AA50="","",IF(COUNTIF($AA$2:AA50,AA50)&gt;1,0,SUMPRODUCT((DailyRouteRecordTable[Route]=AA50)*(IF($B$6="All",1,IFERROR(--MID(DailyRouteRecordTable[Departure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">
        <f>IF(AA50="","",IF(COUNTIF($AA$2:AA50,AA50)&gt;1,0,SUMPRODUCT((DailyRouteRecordTable[Route]=AA50)*(IF($B$6="All",1,IFERROR(--MID(DailyRouteRecordTable[Departure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">
        <f>IF(AB50&lt;=0,"",RANK(AB50,$AB$2:$AB$501,0)+COUNTIFS($AB$2:AB50,AB50)-1)</f>
        <v/>
      </c>
      <c r="AE50">
        <f>IF(AC50&lt;=0,"",RANK(AC50,$AC$2:$AC$501,0)+COUNTIFS($AC$2:AC50,AC50)-1)</f>
        <v/>
      </c>
    </row>
    <row r="51">
      <c r="AA51">
        <f>IFERROR(INDEX(DailyRouteRecordTable[Route],ROW()-1),"")</f>
        <v/>
      </c>
      <c r="AB51">
        <f>IF(AA51="","",IF(COUNTIF($AA$2:AA51,AA51)&gt;1,0,SUMPRODUCT((DailyRouteRecordTable[Route]=AA51)*(IF($B$6="All",1,IFERROR(--MID(DailyRouteRecordTable[Departure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1">
        <f>IF(AA51="","",IF(COUNTIF($AA$2:AA51,AA51)&gt;1,0,SUMPRODUCT((DailyRouteRecordTable[Route]=AA51)*(IF($B$6="All",1,IFERROR(--MID(DailyRouteRecordTable[Departure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1">
        <f>IF(AB51&lt;=0,"",RANK(AB51,$AB$2:$AB$501,0)+COUNTIFS($AB$2:AB51,AB51)-1)</f>
        <v/>
      </c>
      <c r="AE51">
        <f>IF(AC51&lt;=0,"",RANK(AC51,$AC$2:$AC$501,0)+COUNTIFS($AC$2:AC51,AC51)-1)</f>
        <v/>
      </c>
    </row>
    <row r="52">
      <c r="AA52">
        <f>IFERROR(INDEX(DailyRouteRecordTable[Route],ROW()-1),"")</f>
        <v/>
      </c>
      <c r="AB52">
        <f>IF(AA52="","",IF(COUNTIF($AA$2:AA52,AA52)&gt;1,0,SUMPRODUCT((DailyRouteRecordTable[Route]=AA52)*(IF($B$6="All",1,IFERROR(--MID(DailyRouteRecordTable[Departure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2">
        <f>IF(AA52="","",IF(COUNTIF($AA$2:AA52,AA52)&gt;1,0,SUMPRODUCT((DailyRouteRecordTable[Route]=AA52)*(IF($B$6="All",1,IFERROR(--MID(DailyRouteRecordTable[Departure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2">
        <f>IF(AB52&lt;=0,"",RANK(AB52,$AB$2:$AB$501,0)+COUNTIFS($AB$2:AB52,AB52)-1)</f>
        <v/>
      </c>
      <c r="AE52">
        <f>IF(AC52&lt;=0,"",RANK(AC52,$AC$2:$AC$501,0)+COUNTIFS($AC$2:AC52,AC52)-1)</f>
        <v/>
      </c>
    </row>
    <row r="53">
      <c r="AA53">
        <f>IFERROR(INDEX(DailyRouteRecordTable[Route],ROW()-1),"")</f>
        <v/>
      </c>
      <c r="AB53">
        <f>IF(AA53="","",IF(COUNTIF($AA$2:AA53,AA53)&gt;1,0,SUMPRODUCT((DailyRouteRecordTable[Route]=AA53)*(IF($B$6="All",1,IFERROR(--MID(DailyRouteRecordTable[Departure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3">
        <f>IF(AA53="","",IF(COUNTIF($AA$2:AA53,AA53)&gt;1,0,SUMPRODUCT((DailyRouteRecordTable[Route]=AA53)*(IF($B$6="All",1,IFERROR(--MID(DailyRouteRecordTable[Departure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3">
        <f>IF(AB53&lt;=0,"",RANK(AB53,$AB$2:$AB$501,0)+COUNTIFS($AB$2:AB53,AB53)-1)</f>
        <v/>
      </c>
      <c r="AE53">
        <f>IF(AC53&lt;=0,"",RANK(AC53,$AC$2:$AC$501,0)+COUNTIFS($AC$2:AC53,AC53)-1)</f>
        <v/>
      </c>
    </row>
    <row r="54">
      <c r="AA54">
        <f>IFERROR(INDEX(DailyRouteRecordTable[Route],ROW()-1),"")</f>
        <v/>
      </c>
      <c r="AB54">
        <f>IF(AA54="","",IF(COUNTIF($AA$2:AA54,AA54)&gt;1,0,SUMPRODUCT((DailyRouteRecordTable[Route]=AA54)*(IF($B$6="All",1,IFERROR(--MID(DailyRouteRecordTable[Departure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4">
        <f>IF(AA54="","",IF(COUNTIF($AA$2:AA54,AA54)&gt;1,0,SUMPRODUCT((DailyRouteRecordTable[Route]=AA54)*(IF($B$6="All",1,IFERROR(--MID(DailyRouteRecordTable[Departure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4">
        <f>IF(AB54&lt;=0,"",RANK(AB54,$AB$2:$AB$501,0)+COUNTIFS($AB$2:AB54,AB54)-1)</f>
        <v/>
      </c>
      <c r="AE54">
        <f>IF(AC54&lt;=0,"",RANK(AC54,$AC$2:$AC$501,0)+COUNTIFS($AC$2:AC54,AC54)-1)</f>
        <v/>
      </c>
    </row>
    <row r="55">
      <c r="AA55">
        <f>IFERROR(INDEX(DailyRouteRecordTable[Route],ROW()-1),"")</f>
        <v/>
      </c>
      <c r="AB55">
        <f>IF(AA55="","",IF(COUNTIF($AA$2:AA55,AA55)&gt;1,0,SUMPRODUCT((DailyRouteRecordTable[Route]=AA55)*(IF($B$6="All",1,IFERROR(--MID(DailyRouteRecordTable[Departure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5">
        <f>IF(AA55="","",IF(COUNTIF($AA$2:AA55,AA55)&gt;1,0,SUMPRODUCT((DailyRouteRecordTable[Route]=AA55)*(IF($B$6="All",1,IFERROR(--MID(DailyRouteRecordTable[Departure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5">
        <f>IF(AB55&lt;=0,"",RANK(AB55,$AB$2:$AB$501,0)+COUNTIFS($AB$2:AB55,AB55)-1)</f>
        <v/>
      </c>
      <c r="AE55">
        <f>IF(AC55&lt;=0,"",RANK(AC55,$AC$2:$AC$501,0)+COUNTIFS($AC$2:AC55,AC55)-1)</f>
        <v/>
      </c>
    </row>
    <row r="56">
      <c r="AA56">
        <f>IFERROR(INDEX(DailyRouteRecordTable[Route],ROW()-1),"")</f>
        <v/>
      </c>
      <c r="AB56">
        <f>IF(AA56="","",IF(COUNTIF($AA$2:AA56,AA56)&gt;1,0,SUMPRODUCT((DailyRouteRecordTable[Route]=AA56)*(IF($B$6="All",1,IFERROR(--MID(DailyRouteRecordTable[Departure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6">
        <f>IF(AA56="","",IF(COUNTIF($AA$2:AA56,AA56)&gt;1,0,SUMPRODUCT((DailyRouteRecordTable[Route]=AA56)*(IF($B$6="All",1,IFERROR(--MID(DailyRouteRecordTable[Departure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6">
        <f>IF(AB56&lt;=0,"",RANK(AB56,$AB$2:$AB$501,0)+COUNTIFS($AB$2:AB56,AB56)-1)</f>
        <v/>
      </c>
      <c r="AE56">
        <f>IF(AC56&lt;=0,"",RANK(AC56,$AC$2:$AC$501,0)+COUNTIFS($AC$2:AC56,AC56)-1)</f>
        <v/>
      </c>
    </row>
    <row r="57">
      <c r="AA57">
        <f>IFERROR(INDEX(DailyRouteRecordTable[Route],ROW()-1),"")</f>
        <v/>
      </c>
      <c r="AB57">
        <f>IF(AA57="","",IF(COUNTIF($AA$2:AA57,AA57)&gt;1,0,SUMPRODUCT((DailyRouteRecordTable[Route]=AA57)*(IF($B$6="All",1,IFERROR(--MID(DailyRouteRecordTable[Departure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7">
        <f>IF(AA57="","",IF(COUNTIF($AA$2:AA57,AA57)&gt;1,0,SUMPRODUCT((DailyRouteRecordTable[Route]=AA57)*(IF($B$6="All",1,IFERROR(--MID(DailyRouteRecordTable[Departure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7">
        <f>IF(AB57&lt;=0,"",RANK(AB57,$AB$2:$AB$501,0)+COUNTIFS($AB$2:AB57,AB57)-1)</f>
        <v/>
      </c>
      <c r="AE57">
        <f>IF(AC57&lt;=0,"",RANK(AC57,$AC$2:$AC$501,0)+COUNTIFS($AC$2:AC57,AC57)-1)</f>
        <v/>
      </c>
    </row>
    <row r="58">
      <c r="AA58">
        <f>IFERROR(INDEX(DailyRouteRecordTable[Route],ROW()-1),"")</f>
        <v/>
      </c>
      <c r="AB58">
        <f>IF(AA58="","",IF(COUNTIF($AA$2:AA58,AA58)&gt;1,0,SUMPRODUCT((DailyRouteRecordTable[Route]=AA58)*(IF($B$6="All",1,IFERROR(--MID(DailyRouteRecordTable[Departure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8">
        <f>IF(AA58="","",IF(COUNTIF($AA$2:AA58,AA58)&gt;1,0,SUMPRODUCT((DailyRouteRecordTable[Route]=AA58)*(IF($B$6="All",1,IFERROR(--MID(DailyRouteRecordTable[Departure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8">
        <f>IF(AB58&lt;=0,"",RANK(AB58,$AB$2:$AB$501,0)+COUNTIFS($AB$2:AB58,AB58)-1)</f>
        <v/>
      </c>
      <c r="AE58">
        <f>IF(AC58&lt;=0,"",RANK(AC58,$AC$2:$AC$501,0)+COUNTIFS($AC$2:AC58,AC58)-1)</f>
        <v/>
      </c>
    </row>
    <row r="59">
      <c r="AA59">
        <f>IFERROR(INDEX(DailyRouteRecordTable[Route],ROW()-1),"")</f>
        <v/>
      </c>
      <c r="AB59">
        <f>IF(AA59="","",IF(COUNTIF($AA$2:AA59,AA59)&gt;1,0,SUMPRODUCT((DailyRouteRecordTable[Route]=AA59)*(IF($B$6="All",1,IFERROR(--MID(DailyRouteRecordTable[Departure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9">
        <f>IF(AA59="","",IF(COUNTIF($AA$2:AA59,AA59)&gt;1,0,SUMPRODUCT((DailyRouteRecordTable[Route]=AA59)*(IF($B$6="All",1,IFERROR(--MID(DailyRouteRecordTable[Departure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9">
        <f>IF(AB59&lt;=0,"",RANK(AB59,$AB$2:$AB$501,0)+COUNTIFS($AB$2:AB59,AB59)-1)</f>
        <v/>
      </c>
      <c r="AE59">
        <f>IF(AC59&lt;=0,"",RANK(AC59,$AC$2:$AC$501,0)+COUNTIFS($AC$2:AC59,AC59)-1)</f>
        <v/>
      </c>
    </row>
    <row r="60">
      <c r="AA60">
        <f>IFERROR(INDEX(DailyRouteRecordTable[Route],ROW()-1),"")</f>
        <v/>
      </c>
      <c r="AB60">
        <f>IF(AA60="","",IF(COUNTIF($AA$2:AA60,AA60)&gt;1,0,SUMPRODUCT((DailyRouteRecordTable[Route]=AA60)*(IF($B$6="All",1,IFERROR(--MID(DailyRouteRecordTable[Departure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0">
        <f>IF(AA60="","",IF(COUNTIF($AA$2:AA60,AA60)&gt;1,0,SUMPRODUCT((DailyRouteRecordTable[Route]=AA60)*(IF($B$6="All",1,IFERROR(--MID(DailyRouteRecordTable[Departure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0">
        <f>IF(AB60&lt;=0,"",RANK(AB60,$AB$2:$AB$501,0)+COUNTIFS($AB$2:AB60,AB60)-1)</f>
        <v/>
      </c>
      <c r="AE60">
        <f>IF(AC60&lt;=0,"",RANK(AC60,$AC$2:$AC$501,0)+COUNTIFS($AC$2:AC60,AC60)-1)</f>
        <v/>
      </c>
    </row>
    <row r="61">
      <c r="AA61">
        <f>IFERROR(INDEX(DailyRouteRecordTable[Route],ROW()-1),"")</f>
        <v/>
      </c>
      <c r="AB61">
        <f>IF(AA61="","",IF(COUNTIF($AA$2:AA61,AA61)&gt;1,0,SUMPRODUCT((DailyRouteRecordTable[Route]=AA61)*(IF($B$6="All",1,IFERROR(--MID(DailyRouteRecordTable[Departure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1">
        <f>IF(AA61="","",IF(COUNTIF($AA$2:AA61,AA61)&gt;1,0,SUMPRODUCT((DailyRouteRecordTable[Route]=AA61)*(IF($B$6="All",1,IFERROR(--MID(DailyRouteRecordTable[Departure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1">
        <f>IF(AB61&lt;=0,"",RANK(AB61,$AB$2:$AB$501,0)+COUNTIFS($AB$2:AB61,AB61)-1)</f>
        <v/>
      </c>
      <c r="AE61">
        <f>IF(AC61&lt;=0,"",RANK(AC61,$AC$2:$AC$501,0)+COUNTIFS($AC$2:AC61,AC61)-1)</f>
        <v/>
      </c>
    </row>
    <row r="62">
      <c r="AA62">
        <f>IFERROR(INDEX(DailyRouteRecordTable[Route],ROW()-1),"")</f>
        <v/>
      </c>
      <c r="AB62">
        <f>IF(AA62="","",IF(COUNTIF($AA$2:AA62,AA62)&gt;1,0,SUMPRODUCT((DailyRouteRecordTable[Route]=AA62)*(IF($B$6="All",1,IFERROR(--MID(DailyRouteRecordTable[Departure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2">
        <f>IF(AA62="","",IF(COUNTIF($AA$2:AA62,AA62)&gt;1,0,SUMPRODUCT((DailyRouteRecordTable[Route]=AA62)*(IF($B$6="All",1,IFERROR(--MID(DailyRouteRecordTable[Departure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2">
        <f>IF(AB62&lt;=0,"",RANK(AB62,$AB$2:$AB$501,0)+COUNTIFS($AB$2:AB62,AB62)-1)</f>
        <v/>
      </c>
      <c r="AE62">
        <f>IF(AC62&lt;=0,"",RANK(AC62,$AC$2:$AC$501,0)+COUNTIFS($AC$2:AC62,AC62)-1)</f>
        <v/>
      </c>
    </row>
    <row r="63">
      <c r="AA63">
        <f>IFERROR(INDEX(DailyRouteRecordTable[Route],ROW()-1),"")</f>
        <v/>
      </c>
      <c r="AB63">
        <f>IF(AA63="","",IF(COUNTIF($AA$2:AA63,AA63)&gt;1,0,SUMPRODUCT((DailyRouteRecordTable[Route]=AA63)*(IF($B$6="All",1,IFERROR(--MID(DailyRouteRecordTable[Departure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3">
        <f>IF(AA63="","",IF(COUNTIF($AA$2:AA63,AA63)&gt;1,0,SUMPRODUCT((DailyRouteRecordTable[Route]=AA63)*(IF($B$6="All",1,IFERROR(--MID(DailyRouteRecordTable[Departure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3">
        <f>IF(AB63&lt;=0,"",RANK(AB63,$AB$2:$AB$501,0)+COUNTIFS($AB$2:AB63,AB63)-1)</f>
        <v/>
      </c>
      <c r="AE63">
        <f>IF(AC63&lt;=0,"",RANK(AC63,$AC$2:$AC$501,0)+COUNTIFS($AC$2:AC63,AC63)-1)</f>
        <v/>
      </c>
    </row>
    <row r="64">
      <c r="AA64">
        <f>IFERROR(INDEX(DailyRouteRecordTable[Route],ROW()-1),"")</f>
        <v/>
      </c>
      <c r="AB64">
        <f>IF(AA64="","",IF(COUNTIF($AA$2:AA64,AA64)&gt;1,0,SUMPRODUCT((DailyRouteRecordTable[Route]=AA64)*(IF($B$6="All",1,IFERROR(--MID(DailyRouteRecordTable[Departure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4">
        <f>IF(AA64="","",IF(COUNTIF($AA$2:AA64,AA64)&gt;1,0,SUMPRODUCT((DailyRouteRecordTable[Route]=AA64)*(IF($B$6="All",1,IFERROR(--MID(DailyRouteRecordTable[Departure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4">
        <f>IF(AB64&lt;=0,"",RANK(AB64,$AB$2:$AB$501,0)+COUNTIFS($AB$2:AB64,AB64)-1)</f>
        <v/>
      </c>
      <c r="AE64">
        <f>IF(AC64&lt;=0,"",RANK(AC64,$AC$2:$AC$501,0)+COUNTIFS($AC$2:AC64,AC64)-1)</f>
        <v/>
      </c>
    </row>
    <row r="65">
      <c r="AA65">
        <f>IFERROR(INDEX(DailyRouteRecordTable[Route],ROW()-1),"")</f>
        <v/>
      </c>
      <c r="AB65">
        <f>IF(AA65="","",IF(COUNTIF($AA$2:AA65,AA65)&gt;1,0,SUMPRODUCT((DailyRouteRecordTable[Route]=AA65)*(IF($B$6="All",1,IFERROR(--MID(DailyRouteRecordTable[Departure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5">
        <f>IF(AA65="","",IF(COUNTIF($AA$2:AA65,AA65)&gt;1,0,SUMPRODUCT((DailyRouteRecordTable[Route]=AA65)*(IF($B$6="All",1,IFERROR(--MID(DailyRouteRecordTable[Departure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5">
        <f>IF(AB65&lt;=0,"",RANK(AB65,$AB$2:$AB$501,0)+COUNTIFS($AB$2:AB65,AB65)-1)</f>
        <v/>
      </c>
      <c r="AE65">
        <f>IF(AC65&lt;=0,"",RANK(AC65,$AC$2:$AC$501,0)+COUNTIFS($AC$2:AC65,AC65)-1)</f>
        <v/>
      </c>
    </row>
    <row r="66">
      <c r="AA66">
        <f>IFERROR(INDEX(DailyRouteRecordTable[Route],ROW()-1),"")</f>
        <v/>
      </c>
      <c r="AB66">
        <f>IF(AA66="","",IF(COUNTIF($AA$2:AA66,AA66)&gt;1,0,SUMPRODUCT((DailyRouteRecordTable[Route]=AA66)*(IF($B$6="All",1,IFERROR(--MID(DailyRouteRecordTable[Departure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6">
        <f>IF(AA66="","",IF(COUNTIF($AA$2:AA66,AA66)&gt;1,0,SUMPRODUCT((DailyRouteRecordTable[Route]=AA66)*(IF($B$6="All",1,IFERROR(--MID(DailyRouteRecordTable[Departure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6">
        <f>IF(AB66&lt;=0,"",RANK(AB66,$AB$2:$AB$501,0)+COUNTIFS($AB$2:AB66,AB66)-1)</f>
        <v/>
      </c>
      <c r="AE66">
        <f>IF(AC66&lt;=0,"",RANK(AC66,$AC$2:$AC$501,0)+COUNTIFS($AC$2:AC66,AC66)-1)</f>
        <v/>
      </c>
    </row>
    <row r="67">
      <c r="AA67">
        <f>IFERROR(INDEX(DailyRouteRecordTable[Route],ROW()-1),"")</f>
        <v/>
      </c>
      <c r="AB67">
        <f>IF(AA67="","",IF(COUNTIF($AA$2:AA67,AA67)&gt;1,0,SUMPRODUCT((DailyRouteRecordTable[Route]=AA67)*(IF($B$6="All",1,IFERROR(--MID(DailyRouteRecordTable[Departure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7">
        <f>IF(AA67="","",IF(COUNTIF($AA$2:AA67,AA67)&gt;1,0,SUMPRODUCT((DailyRouteRecordTable[Route]=AA67)*(IF($B$6="All",1,IFERROR(--MID(DailyRouteRecordTable[Departure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7">
        <f>IF(AB67&lt;=0,"",RANK(AB67,$AB$2:$AB$501,0)+COUNTIFS($AB$2:AB67,AB67)-1)</f>
        <v/>
      </c>
      <c r="AE67">
        <f>IF(AC67&lt;=0,"",RANK(AC67,$AC$2:$AC$501,0)+COUNTIFS($AC$2:AC67,AC67)-1)</f>
        <v/>
      </c>
    </row>
    <row r="68">
      <c r="AA68">
        <f>IFERROR(INDEX(DailyRouteRecordTable[Route],ROW()-1),"")</f>
        <v/>
      </c>
      <c r="AB68">
        <f>IF(AA68="","",IF(COUNTIF($AA$2:AA68,AA68)&gt;1,0,SUMPRODUCT((DailyRouteRecordTable[Route]=AA68)*(IF($B$6="All",1,IFERROR(--MID(DailyRouteRecordTable[Departure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8">
        <f>IF(AA68="","",IF(COUNTIF($AA$2:AA68,AA68)&gt;1,0,SUMPRODUCT((DailyRouteRecordTable[Route]=AA68)*(IF($B$6="All",1,IFERROR(--MID(DailyRouteRecordTable[Departure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8">
        <f>IF(AB68&lt;=0,"",RANK(AB68,$AB$2:$AB$501,0)+COUNTIFS($AB$2:AB68,AB68)-1)</f>
        <v/>
      </c>
      <c r="AE68">
        <f>IF(AC68&lt;=0,"",RANK(AC68,$AC$2:$AC$501,0)+COUNTIFS($AC$2:AC68,AC68)-1)</f>
        <v/>
      </c>
    </row>
    <row r="69">
      <c r="AA69">
        <f>IFERROR(INDEX(DailyRouteRecordTable[Route],ROW()-1),"")</f>
        <v/>
      </c>
      <c r="AB69">
        <f>IF(AA69="","",IF(COUNTIF($AA$2:AA69,AA69)&gt;1,0,SUMPRODUCT((DailyRouteRecordTable[Route]=AA69)*(IF($B$6="All",1,IFERROR(--MID(DailyRouteRecordTable[Departure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69">
        <f>IF(AA69="","",IF(COUNTIF($AA$2:AA69,AA69)&gt;1,0,SUMPRODUCT((DailyRouteRecordTable[Route]=AA69)*(IF($B$6="All",1,IFERROR(--MID(DailyRouteRecordTable[Departure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69">
        <f>IF(AB69&lt;=0,"",RANK(AB69,$AB$2:$AB$501,0)+COUNTIFS($AB$2:AB69,AB69)-1)</f>
        <v/>
      </c>
      <c r="AE69">
        <f>IF(AC69&lt;=0,"",RANK(AC69,$AC$2:$AC$501,0)+COUNTIFS($AC$2:AC69,AC69)-1)</f>
        <v/>
      </c>
    </row>
    <row r="70">
      <c r="AA70">
        <f>IFERROR(INDEX(DailyRouteRecordTable[Route],ROW()-1),"")</f>
        <v/>
      </c>
      <c r="AB70">
        <f>IF(AA70="","",IF(COUNTIF($AA$2:AA70,AA70)&gt;1,0,SUMPRODUCT((DailyRouteRecordTable[Route]=AA70)*(IF($B$6="All",1,IFERROR(--MID(DailyRouteRecordTable[Departure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0">
        <f>IF(AA70="","",IF(COUNTIF($AA$2:AA70,AA70)&gt;1,0,SUMPRODUCT((DailyRouteRecordTable[Route]=AA70)*(IF($B$6="All",1,IFERROR(--MID(DailyRouteRecordTable[Departure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0">
        <f>IF(AB70&lt;=0,"",RANK(AB70,$AB$2:$AB$501,0)+COUNTIFS($AB$2:AB70,AB70)-1)</f>
        <v/>
      </c>
      <c r="AE70">
        <f>IF(AC70&lt;=0,"",RANK(AC70,$AC$2:$AC$501,0)+COUNTIFS($AC$2:AC70,AC70)-1)</f>
        <v/>
      </c>
    </row>
    <row r="71">
      <c r="AA71">
        <f>IFERROR(INDEX(DailyRouteRecordTable[Route],ROW()-1),"")</f>
        <v/>
      </c>
      <c r="AB71">
        <f>IF(AA71="","",IF(COUNTIF($AA$2:AA71,AA71)&gt;1,0,SUMPRODUCT((DailyRouteRecordTable[Route]=AA71)*(IF($B$6="All",1,IFERROR(--MID(DailyRouteRecordTable[Departure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1">
        <f>IF(AA71="","",IF(COUNTIF($AA$2:AA71,AA71)&gt;1,0,SUMPRODUCT((DailyRouteRecordTable[Route]=AA71)*(IF($B$6="All",1,IFERROR(--MID(DailyRouteRecordTable[Departure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1">
        <f>IF(AB71&lt;=0,"",RANK(AB71,$AB$2:$AB$501,0)+COUNTIFS($AB$2:AB71,AB71)-1)</f>
        <v/>
      </c>
      <c r="AE71">
        <f>IF(AC71&lt;=0,"",RANK(AC71,$AC$2:$AC$501,0)+COUNTIFS($AC$2:AC71,AC71)-1)</f>
        <v/>
      </c>
    </row>
    <row r="72">
      <c r="AA72">
        <f>IFERROR(INDEX(DailyRouteRecordTable[Route],ROW()-1),"")</f>
        <v/>
      </c>
      <c r="AB72">
        <f>IF(AA72="","",IF(COUNTIF($AA$2:AA72,AA72)&gt;1,0,SUMPRODUCT((DailyRouteRecordTable[Route]=AA72)*(IF($B$6="All",1,IFERROR(--MID(DailyRouteRecordTable[Departure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2">
        <f>IF(AA72="","",IF(COUNTIF($AA$2:AA72,AA72)&gt;1,0,SUMPRODUCT((DailyRouteRecordTable[Route]=AA72)*(IF($B$6="All",1,IFERROR(--MID(DailyRouteRecordTable[Departure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2">
        <f>IF(AB72&lt;=0,"",RANK(AB72,$AB$2:$AB$501,0)+COUNTIFS($AB$2:AB72,AB72)-1)</f>
        <v/>
      </c>
      <c r="AE72">
        <f>IF(AC72&lt;=0,"",RANK(AC72,$AC$2:$AC$501,0)+COUNTIFS($AC$2:AC72,AC72)-1)</f>
        <v/>
      </c>
    </row>
    <row r="73">
      <c r="AA73">
        <f>IFERROR(INDEX(DailyRouteRecordTable[Route],ROW()-1),"")</f>
        <v/>
      </c>
      <c r="AB73">
        <f>IF(AA73="","",IF(COUNTIF($AA$2:AA73,AA73)&gt;1,0,SUMPRODUCT((DailyRouteRecordTable[Route]=AA73)*(IF($B$6="All",1,IFERROR(--MID(DailyRouteRecordTable[Departure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3">
        <f>IF(AA73="","",IF(COUNTIF($AA$2:AA73,AA73)&gt;1,0,SUMPRODUCT((DailyRouteRecordTable[Route]=AA73)*(IF($B$6="All",1,IFERROR(--MID(DailyRouteRecordTable[Departure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3">
        <f>IF(AB73&lt;=0,"",RANK(AB73,$AB$2:$AB$501,0)+COUNTIFS($AB$2:AB73,AB73)-1)</f>
        <v/>
      </c>
      <c r="AE73">
        <f>IF(AC73&lt;=0,"",RANK(AC73,$AC$2:$AC$501,0)+COUNTIFS($AC$2:AC73,AC73)-1)</f>
        <v/>
      </c>
    </row>
    <row r="74">
      <c r="AA74">
        <f>IFERROR(INDEX(DailyRouteRecordTable[Route],ROW()-1),"")</f>
        <v/>
      </c>
      <c r="AB74">
        <f>IF(AA74="","",IF(COUNTIF($AA$2:AA74,AA74)&gt;1,0,SUMPRODUCT((DailyRouteRecordTable[Route]=AA74)*(IF($B$6="All",1,IFERROR(--MID(DailyRouteRecordTable[Departure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4">
        <f>IF(AA74="","",IF(COUNTIF($AA$2:AA74,AA74)&gt;1,0,SUMPRODUCT((DailyRouteRecordTable[Route]=AA74)*(IF($B$6="All",1,IFERROR(--MID(DailyRouteRecordTable[Departure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4">
        <f>IF(AB74&lt;=0,"",RANK(AB74,$AB$2:$AB$501,0)+COUNTIFS($AB$2:AB74,AB74)-1)</f>
        <v/>
      </c>
      <c r="AE74">
        <f>IF(AC74&lt;=0,"",RANK(AC74,$AC$2:$AC$501,0)+COUNTIFS($AC$2:AC74,AC74)-1)</f>
        <v/>
      </c>
    </row>
    <row r="75">
      <c r="AA75">
        <f>IFERROR(INDEX(DailyRouteRecordTable[Route],ROW()-1),"")</f>
        <v/>
      </c>
      <c r="AB75">
        <f>IF(AA75="","",IF(COUNTIF($AA$2:AA75,AA75)&gt;1,0,SUMPRODUCT((DailyRouteRecordTable[Route]=AA75)*(IF($B$6="All",1,IFERROR(--MID(DailyRouteRecordTable[Departure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5">
        <f>IF(AA75="","",IF(COUNTIF($AA$2:AA75,AA75)&gt;1,0,SUMPRODUCT((DailyRouteRecordTable[Route]=AA75)*(IF($B$6="All",1,IFERROR(--MID(DailyRouteRecordTable[Departure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5">
        <f>IF(AB75&lt;=0,"",RANK(AB75,$AB$2:$AB$501,0)+COUNTIFS($AB$2:AB75,AB75)-1)</f>
        <v/>
      </c>
      <c r="AE75">
        <f>IF(AC75&lt;=0,"",RANK(AC75,$AC$2:$AC$501,0)+COUNTIFS($AC$2:AC75,AC75)-1)</f>
        <v/>
      </c>
    </row>
    <row r="76">
      <c r="AA76">
        <f>IFERROR(INDEX(DailyRouteRecordTable[Route],ROW()-1),"")</f>
        <v/>
      </c>
      <c r="AB76">
        <f>IF(AA76="","",IF(COUNTIF($AA$2:AA76,AA76)&gt;1,0,SUMPRODUCT((DailyRouteRecordTable[Route]=AA76)*(IF($B$6="All",1,IFERROR(--MID(DailyRouteRecordTable[Departure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6">
        <f>IF(AA76="","",IF(COUNTIF($AA$2:AA76,AA76)&gt;1,0,SUMPRODUCT((DailyRouteRecordTable[Route]=AA76)*(IF($B$6="All",1,IFERROR(--MID(DailyRouteRecordTable[Departure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6">
        <f>IF(AB76&lt;=0,"",RANK(AB76,$AB$2:$AB$501,0)+COUNTIFS($AB$2:AB76,AB76)-1)</f>
        <v/>
      </c>
      <c r="AE76">
        <f>IF(AC76&lt;=0,"",RANK(AC76,$AC$2:$AC$501,0)+COUNTIFS($AC$2:AC76,AC76)-1)</f>
        <v/>
      </c>
    </row>
    <row r="77">
      <c r="AA77">
        <f>IFERROR(INDEX(DailyRouteRecordTable[Route],ROW()-1),"")</f>
        <v/>
      </c>
      <c r="AB77">
        <f>IF(AA77="","",IF(COUNTIF($AA$2:AA77,AA77)&gt;1,0,SUMPRODUCT((DailyRouteRecordTable[Route]=AA77)*(IF($B$6="All",1,IFERROR(--MID(DailyRouteRecordTable[Departure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7">
        <f>IF(AA77="","",IF(COUNTIF($AA$2:AA77,AA77)&gt;1,0,SUMPRODUCT((DailyRouteRecordTable[Route]=AA77)*(IF($B$6="All",1,IFERROR(--MID(DailyRouteRecordTable[Departure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7">
        <f>IF(AB77&lt;=0,"",RANK(AB77,$AB$2:$AB$501,0)+COUNTIFS($AB$2:AB77,AB77)-1)</f>
        <v/>
      </c>
      <c r="AE77">
        <f>IF(AC77&lt;=0,"",RANK(AC77,$AC$2:$AC$501,0)+COUNTIFS($AC$2:AC77,AC77)-1)</f>
        <v/>
      </c>
    </row>
    <row r="78">
      <c r="AA78">
        <f>IFERROR(INDEX(DailyRouteRecordTable[Route],ROW()-1),"")</f>
        <v/>
      </c>
      <c r="AB78">
        <f>IF(AA78="","",IF(COUNTIF($AA$2:AA78,AA78)&gt;1,0,SUMPRODUCT((DailyRouteRecordTable[Route]=AA78)*(IF($B$6="All",1,IFERROR(--MID(DailyRouteRecordTable[Departure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8">
        <f>IF(AA78="","",IF(COUNTIF($AA$2:AA78,AA78)&gt;1,0,SUMPRODUCT((DailyRouteRecordTable[Route]=AA78)*(IF($B$6="All",1,IFERROR(--MID(DailyRouteRecordTable[Departure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8">
        <f>IF(AB78&lt;=0,"",RANK(AB78,$AB$2:$AB$501,0)+COUNTIFS($AB$2:AB78,AB78)-1)</f>
        <v/>
      </c>
      <c r="AE78">
        <f>IF(AC78&lt;=0,"",RANK(AC78,$AC$2:$AC$501,0)+COUNTIFS($AC$2:AC78,AC78)-1)</f>
        <v/>
      </c>
    </row>
    <row r="79">
      <c r="AA79">
        <f>IFERROR(INDEX(DailyRouteRecordTable[Route],ROW()-1),"")</f>
        <v/>
      </c>
      <c r="AB79">
        <f>IF(AA79="","",IF(COUNTIF($AA$2:AA79,AA79)&gt;1,0,SUMPRODUCT((DailyRouteRecordTable[Route]=AA79)*(IF($B$6="All",1,IFERROR(--MID(DailyRouteRecordTable[Departure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79">
        <f>IF(AA79="","",IF(COUNTIF($AA$2:AA79,AA79)&gt;1,0,SUMPRODUCT((DailyRouteRecordTable[Route]=AA79)*(IF($B$6="All",1,IFERROR(--MID(DailyRouteRecordTable[Departure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79">
        <f>IF(AB79&lt;=0,"",RANK(AB79,$AB$2:$AB$501,0)+COUNTIFS($AB$2:AB79,AB79)-1)</f>
        <v/>
      </c>
      <c r="AE79">
        <f>IF(AC79&lt;=0,"",RANK(AC79,$AC$2:$AC$501,0)+COUNTIFS($AC$2:AC79,AC79)-1)</f>
        <v/>
      </c>
    </row>
    <row r="80">
      <c r="AA80">
        <f>IFERROR(INDEX(DailyRouteRecordTable[Route],ROW()-1),"")</f>
        <v/>
      </c>
      <c r="AB80">
        <f>IF(AA80="","",IF(COUNTIF($AA$2:AA80,AA80)&gt;1,0,SUMPRODUCT((DailyRouteRecordTable[Route]=AA80)*(IF($B$6="All",1,IFERROR(--MID(DailyRouteRecordTable[Departure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0">
        <f>IF(AA80="","",IF(COUNTIF($AA$2:AA80,AA80)&gt;1,0,SUMPRODUCT((DailyRouteRecordTable[Route]=AA80)*(IF($B$6="All",1,IFERROR(--MID(DailyRouteRecordTable[Departure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0">
        <f>IF(AB80&lt;=0,"",RANK(AB80,$AB$2:$AB$501,0)+COUNTIFS($AB$2:AB80,AB80)-1)</f>
        <v/>
      </c>
      <c r="AE80">
        <f>IF(AC80&lt;=0,"",RANK(AC80,$AC$2:$AC$501,0)+COUNTIFS($AC$2:AC80,AC80)-1)</f>
        <v/>
      </c>
    </row>
    <row r="81">
      <c r="AA81">
        <f>IFERROR(INDEX(DailyRouteRecordTable[Route],ROW()-1),"")</f>
        <v/>
      </c>
      <c r="AB81">
        <f>IF(AA81="","",IF(COUNTIF($AA$2:AA81,AA81)&gt;1,0,SUMPRODUCT((DailyRouteRecordTable[Route]=AA81)*(IF($B$6="All",1,IFERROR(--MID(DailyRouteRecordTable[Departure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1">
        <f>IF(AA81="","",IF(COUNTIF($AA$2:AA81,AA81)&gt;1,0,SUMPRODUCT((DailyRouteRecordTable[Route]=AA81)*(IF($B$6="All",1,IFERROR(--MID(DailyRouteRecordTable[Departure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1">
        <f>IF(AB81&lt;=0,"",RANK(AB81,$AB$2:$AB$501,0)+COUNTIFS($AB$2:AB81,AB81)-1)</f>
        <v/>
      </c>
      <c r="AE81">
        <f>IF(AC81&lt;=0,"",RANK(AC81,$AC$2:$AC$501,0)+COUNTIFS($AC$2:AC81,AC81)-1)</f>
        <v/>
      </c>
    </row>
    <row r="82">
      <c r="AA82">
        <f>IFERROR(INDEX(DailyRouteRecordTable[Route],ROW()-1),"")</f>
        <v/>
      </c>
      <c r="AB82">
        <f>IF(AA82="","",IF(COUNTIF($AA$2:AA82,AA82)&gt;1,0,SUMPRODUCT((DailyRouteRecordTable[Route]=AA82)*(IF($B$6="All",1,IFERROR(--MID(DailyRouteRecordTable[Departure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2">
        <f>IF(AA82="","",IF(COUNTIF($AA$2:AA82,AA82)&gt;1,0,SUMPRODUCT((DailyRouteRecordTable[Route]=AA82)*(IF($B$6="All",1,IFERROR(--MID(DailyRouteRecordTable[Departure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2">
        <f>IF(AB82&lt;=0,"",RANK(AB82,$AB$2:$AB$501,0)+COUNTIFS($AB$2:AB82,AB82)-1)</f>
        <v/>
      </c>
      <c r="AE82">
        <f>IF(AC82&lt;=0,"",RANK(AC82,$AC$2:$AC$501,0)+COUNTIFS($AC$2:AC82,AC82)-1)</f>
        <v/>
      </c>
    </row>
    <row r="83">
      <c r="AA83">
        <f>IFERROR(INDEX(DailyRouteRecordTable[Route],ROW()-1),"")</f>
        <v/>
      </c>
      <c r="AB83">
        <f>IF(AA83="","",IF(COUNTIF($AA$2:AA83,AA83)&gt;1,0,SUMPRODUCT((DailyRouteRecordTable[Route]=AA83)*(IF($B$6="All",1,IFERROR(--MID(DailyRouteRecordTable[Departure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3">
        <f>IF(AA83="","",IF(COUNTIF($AA$2:AA83,AA83)&gt;1,0,SUMPRODUCT((DailyRouteRecordTable[Route]=AA83)*(IF($B$6="All",1,IFERROR(--MID(DailyRouteRecordTable[Departure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3">
        <f>IF(AB83&lt;=0,"",RANK(AB83,$AB$2:$AB$501,0)+COUNTIFS($AB$2:AB83,AB83)-1)</f>
        <v/>
      </c>
      <c r="AE83">
        <f>IF(AC83&lt;=0,"",RANK(AC83,$AC$2:$AC$501,0)+COUNTIFS($AC$2:AC83,AC83)-1)</f>
        <v/>
      </c>
    </row>
    <row r="84">
      <c r="AA84">
        <f>IFERROR(INDEX(DailyRouteRecordTable[Route],ROW()-1),"")</f>
        <v/>
      </c>
      <c r="AB84">
        <f>IF(AA84="","",IF(COUNTIF($AA$2:AA84,AA84)&gt;1,0,SUMPRODUCT((DailyRouteRecordTable[Route]=AA84)*(IF($B$6="All",1,IFERROR(--MID(DailyRouteRecordTable[Departure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4">
        <f>IF(AA84="","",IF(COUNTIF($AA$2:AA84,AA84)&gt;1,0,SUMPRODUCT((DailyRouteRecordTable[Route]=AA84)*(IF($B$6="All",1,IFERROR(--MID(DailyRouteRecordTable[Departure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4">
        <f>IF(AB84&lt;=0,"",RANK(AB84,$AB$2:$AB$501,0)+COUNTIFS($AB$2:AB84,AB84)-1)</f>
        <v/>
      </c>
      <c r="AE84">
        <f>IF(AC84&lt;=0,"",RANK(AC84,$AC$2:$AC$501,0)+COUNTIFS($AC$2:AC84,AC84)-1)</f>
        <v/>
      </c>
    </row>
    <row r="85">
      <c r="AA85">
        <f>IFERROR(INDEX(DailyRouteRecordTable[Route],ROW()-1),"")</f>
        <v/>
      </c>
      <c r="AB85">
        <f>IF(AA85="","",IF(COUNTIF($AA$2:AA85,AA85)&gt;1,0,SUMPRODUCT((DailyRouteRecordTable[Route]=AA85)*(IF($B$6="All",1,IFERROR(--MID(DailyRouteRecordTable[Departure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5">
        <f>IF(AA85="","",IF(COUNTIF($AA$2:AA85,AA85)&gt;1,0,SUMPRODUCT((DailyRouteRecordTable[Route]=AA85)*(IF($B$6="All",1,IFERROR(--MID(DailyRouteRecordTable[Departure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5">
        <f>IF(AB85&lt;=0,"",RANK(AB85,$AB$2:$AB$501,0)+COUNTIFS($AB$2:AB85,AB85)-1)</f>
        <v/>
      </c>
      <c r="AE85">
        <f>IF(AC85&lt;=0,"",RANK(AC85,$AC$2:$AC$501,0)+COUNTIFS($AC$2:AC85,AC85)-1)</f>
        <v/>
      </c>
    </row>
    <row r="86">
      <c r="AA86">
        <f>IFERROR(INDEX(DailyRouteRecordTable[Route],ROW()-1),"")</f>
        <v/>
      </c>
      <c r="AB86">
        <f>IF(AA86="","",IF(COUNTIF($AA$2:AA86,AA86)&gt;1,0,SUMPRODUCT((DailyRouteRecordTable[Route]=AA86)*(IF($B$6="All",1,IFERROR(--MID(DailyRouteRecordTable[Departure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6">
        <f>IF(AA86="","",IF(COUNTIF($AA$2:AA86,AA86)&gt;1,0,SUMPRODUCT((DailyRouteRecordTable[Route]=AA86)*(IF($B$6="All",1,IFERROR(--MID(DailyRouteRecordTable[Departure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6">
        <f>IF(AB86&lt;=0,"",RANK(AB86,$AB$2:$AB$501,0)+COUNTIFS($AB$2:AB86,AB86)-1)</f>
        <v/>
      </c>
      <c r="AE86">
        <f>IF(AC86&lt;=0,"",RANK(AC86,$AC$2:$AC$501,0)+COUNTIFS($AC$2:AC86,AC86)-1)</f>
        <v/>
      </c>
    </row>
    <row r="87">
      <c r="AA87">
        <f>IFERROR(INDEX(DailyRouteRecordTable[Route],ROW()-1),"")</f>
        <v/>
      </c>
      <c r="AB87">
        <f>IF(AA87="","",IF(COUNTIF($AA$2:AA87,AA87)&gt;1,0,SUMPRODUCT((DailyRouteRecordTable[Route]=AA87)*(IF($B$6="All",1,IFERROR(--MID(DailyRouteRecordTable[Departure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7">
        <f>IF(AA87="","",IF(COUNTIF($AA$2:AA87,AA87)&gt;1,0,SUMPRODUCT((DailyRouteRecordTable[Route]=AA87)*(IF($B$6="All",1,IFERROR(--MID(DailyRouteRecordTable[Departure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7">
        <f>IF(AB87&lt;=0,"",RANK(AB87,$AB$2:$AB$501,0)+COUNTIFS($AB$2:AB87,AB87)-1)</f>
        <v/>
      </c>
      <c r="AE87">
        <f>IF(AC87&lt;=0,"",RANK(AC87,$AC$2:$AC$501,0)+COUNTIFS($AC$2:AC87,AC87)-1)</f>
        <v/>
      </c>
    </row>
    <row r="88">
      <c r="AA88">
        <f>IFERROR(INDEX(DailyRouteRecordTable[Route],ROW()-1),"")</f>
        <v/>
      </c>
      <c r="AB88">
        <f>IF(AA88="","",IF(COUNTIF($AA$2:AA88,AA88)&gt;1,0,SUMPRODUCT((DailyRouteRecordTable[Route]=AA88)*(IF($B$6="All",1,IFERROR(--MID(DailyRouteRecordTable[Departure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8">
        <f>IF(AA88="","",IF(COUNTIF($AA$2:AA88,AA88)&gt;1,0,SUMPRODUCT((DailyRouteRecordTable[Route]=AA88)*(IF($B$6="All",1,IFERROR(--MID(DailyRouteRecordTable[Departure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8">
        <f>IF(AB88&lt;=0,"",RANK(AB88,$AB$2:$AB$501,0)+COUNTIFS($AB$2:AB88,AB88)-1)</f>
        <v/>
      </c>
      <c r="AE88">
        <f>IF(AC88&lt;=0,"",RANK(AC88,$AC$2:$AC$501,0)+COUNTIFS($AC$2:AC88,AC88)-1)</f>
        <v/>
      </c>
    </row>
    <row r="89">
      <c r="AA89">
        <f>IFERROR(INDEX(DailyRouteRecordTable[Route],ROW()-1),"")</f>
        <v/>
      </c>
      <c r="AB89">
        <f>IF(AA89="","",IF(COUNTIF($AA$2:AA89,AA89)&gt;1,0,SUMPRODUCT((DailyRouteRecordTable[Route]=AA89)*(IF($B$6="All",1,IFERROR(--MID(DailyRouteRecordTable[Departure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89">
        <f>IF(AA89="","",IF(COUNTIF($AA$2:AA89,AA89)&gt;1,0,SUMPRODUCT((DailyRouteRecordTable[Route]=AA89)*(IF($B$6="All",1,IFERROR(--MID(DailyRouteRecordTable[Departure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89">
        <f>IF(AB89&lt;=0,"",RANK(AB89,$AB$2:$AB$501,0)+COUNTIFS($AB$2:AB89,AB89)-1)</f>
        <v/>
      </c>
      <c r="AE89">
        <f>IF(AC89&lt;=0,"",RANK(AC89,$AC$2:$AC$501,0)+COUNTIFS($AC$2:AC89,AC89)-1)</f>
        <v/>
      </c>
    </row>
    <row r="90">
      <c r="AA90">
        <f>IFERROR(INDEX(DailyRouteRecordTable[Route],ROW()-1),"")</f>
        <v/>
      </c>
      <c r="AB90">
        <f>IF(AA90="","",IF(COUNTIF($AA$2:AA90,AA90)&gt;1,0,SUMPRODUCT((DailyRouteRecordTable[Route]=AA90)*(IF($B$6="All",1,IFERROR(--MID(DailyRouteRecordTable[Departure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0">
        <f>IF(AA90="","",IF(COUNTIF($AA$2:AA90,AA90)&gt;1,0,SUMPRODUCT((DailyRouteRecordTable[Route]=AA90)*(IF($B$6="All",1,IFERROR(--MID(DailyRouteRecordTable[Departure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0">
        <f>IF(AB90&lt;=0,"",RANK(AB90,$AB$2:$AB$501,0)+COUNTIFS($AB$2:AB90,AB90)-1)</f>
        <v/>
      </c>
      <c r="AE90">
        <f>IF(AC90&lt;=0,"",RANK(AC90,$AC$2:$AC$501,0)+COUNTIFS($AC$2:AC90,AC90)-1)</f>
        <v/>
      </c>
    </row>
    <row r="91">
      <c r="AA91">
        <f>IFERROR(INDEX(DailyRouteRecordTable[Route],ROW()-1),"")</f>
        <v/>
      </c>
      <c r="AB91">
        <f>IF(AA91="","",IF(COUNTIF($AA$2:AA91,AA91)&gt;1,0,SUMPRODUCT((DailyRouteRecordTable[Route]=AA91)*(IF($B$6="All",1,IFERROR(--MID(DailyRouteRecordTable[Departure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1">
        <f>IF(AA91="","",IF(COUNTIF($AA$2:AA91,AA91)&gt;1,0,SUMPRODUCT((DailyRouteRecordTable[Route]=AA91)*(IF($B$6="All",1,IFERROR(--MID(DailyRouteRecordTable[Departure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1">
        <f>IF(AB91&lt;=0,"",RANK(AB91,$AB$2:$AB$501,0)+COUNTIFS($AB$2:AB91,AB91)-1)</f>
        <v/>
      </c>
      <c r="AE91">
        <f>IF(AC91&lt;=0,"",RANK(AC91,$AC$2:$AC$501,0)+COUNTIFS($AC$2:AC91,AC91)-1)</f>
        <v/>
      </c>
    </row>
    <row r="92">
      <c r="AA92">
        <f>IFERROR(INDEX(DailyRouteRecordTable[Route],ROW()-1),"")</f>
        <v/>
      </c>
      <c r="AB92">
        <f>IF(AA92="","",IF(COUNTIF($AA$2:AA92,AA92)&gt;1,0,SUMPRODUCT((DailyRouteRecordTable[Route]=AA92)*(IF($B$6="All",1,IFERROR(--MID(DailyRouteRecordTable[Departure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2">
        <f>IF(AA92="","",IF(COUNTIF($AA$2:AA92,AA92)&gt;1,0,SUMPRODUCT((DailyRouteRecordTable[Route]=AA92)*(IF($B$6="All",1,IFERROR(--MID(DailyRouteRecordTable[Departure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2">
        <f>IF(AB92&lt;=0,"",RANK(AB92,$AB$2:$AB$501,0)+COUNTIFS($AB$2:AB92,AB92)-1)</f>
        <v/>
      </c>
      <c r="AE92">
        <f>IF(AC92&lt;=0,"",RANK(AC92,$AC$2:$AC$501,0)+COUNTIFS($AC$2:AC92,AC92)-1)</f>
        <v/>
      </c>
    </row>
    <row r="93">
      <c r="AA93">
        <f>IFERROR(INDEX(DailyRouteRecordTable[Route],ROW()-1),"")</f>
        <v/>
      </c>
      <c r="AB93">
        <f>IF(AA93="","",IF(COUNTIF($AA$2:AA93,AA93)&gt;1,0,SUMPRODUCT((DailyRouteRecordTable[Route]=AA93)*(IF($B$6="All",1,IFERROR(--MID(DailyRouteRecordTable[Departure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3">
        <f>IF(AA93="","",IF(COUNTIF($AA$2:AA93,AA93)&gt;1,0,SUMPRODUCT((DailyRouteRecordTable[Route]=AA93)*(IF($B$6="All",1,IFERROR(--MID(DailyRouteRecordTable[Departure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3">
        <f>IF(AB93&lt;=0,"",RANK(AB93,$AB$2:$AB$501,0)+COUNTIFS($AB$2:AB93,AB93)-1)</f>
        <v/>
      </c>
      <c r="AE93">
        <f>IF(AC93&lt;=0,"",RANK(AC93,$AC$2:$AC$501,0)+COUNTIFS($AC$2:AC93,AC93)-1)</f>
        <v/>
      </c>
    </row>
    <row r="94">
      <c r="AA94">
        <f>IFERROR(INDEX(DailyRouteRecordTable[Route],ROW()-1),"")</f>
        <v/>
      </c>
      <c r="AB94">
        <f>IF(AA94="","",IF(COUNTIF($AA$2:AA94,AA94)&gt;1,0,SUMPRODUCT((DailyRouteRecordTable[Route]=AA94)*(IF($B$6="All",1,IFERROR(--MID(DailyRouteRecordTable[Departure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4">
        <f>IF(AA94="","",IF(COUNTIF($AA$2:AA94,AA94)&gt;1,0,SUMPRODUCT((DailyRouteRecordTable[Route]=AA94)*(IF($B$6="All",1,IFERROR(--MID(DailyRouteRecordTable[Departure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4">
        <f>IF(AB94&lt;=0,"",RANK(AB94,$AB$2:$AB$501,0)+COUNTIFS($AB$2:AB94,AB94)-1)</f>
        <v/>
      </c>
      <c r="AE94">
        <f>IF(AC94&lt;=0,"",RANK(AC94,$AC$2:$AC$501,0)+COUNTIFS($AC$2:AC94,AC94)-1)</f>
        <v/>
      </c>
    </row>
    <row r="95">
      <c r="AA95">
        <f>IFERROR(INDEX(DailyRouteRecordTable[Route],ROW()-1),"")</f>
        <v/>
      </c>
      <c r="AB95">
        <f>IF(AA95="","",IF(COUNTIF($AA$2:AA95,AA95)&gt;1,0,SUMPRODUCT((DailyRouteRecordTable[Route]=AA95)*(IF($B$6="All",1,IFERROR(--MID(DailyRouteRecordTable[Departure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5">
        <f>IF(AA95="","",IF(COUNTIF($AA$2:AA95,AA95)&gt;1,0,SUMPRODUCT((DailyRouteRecordTable[Route]=AA95)*(IF($B$6="All",1,IFERROR(--MID(DailyRouteRecordTable[Departure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5">
        <f>IF(AB95&lt;=0,"",RANK(AB95,$AB$2:$AB$501,0)+COUNTIFS($AB$2:AB95,AB95)-1)</f>
        <v/>
      </c>
      <c r="AE95">
        <f>IF(AC95&lt;=0,"",RANK(AC95,$AC$2:$AC$501,0)+COUNTIFS($AC$2:AC95,AC95)-1)</f>
        <v/>
      </c>
    </row>
    <row r="96">
      <c r="AA96">
        <f>IFERROR(INDEX(DailyRouteRecordTable[Route],ROW()-1),"")</f>
        <v/>
      </c>
      <c r="AB96">
        <f>IF(AA96="","",IF(COUNTIF($AA$2:AA96,AA96)&gt;1,0,SUMPRODUCT((DailyRouteRecordTable[Route]=AA96)*(IF($B$6="All",1,IFERROR(--MID(DailyRouteRecordTable[Departure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6">
        <f>IF(AA96="","",IF(COUNTIF($AA$2:AA96,AA96)&gt;1,0,SUMPRODUCT((DailyRouteRecordTable[Route]=AA96)*(IF($B$6="All",1,IFERROR(--MID(DailyRouteRecordTable[Departure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6">
        <f>IF(AB96&lt;=0,"",RANK(AB96,$AB$2:$AB$501,0)+COUNTIFS($AB$2:AB96,AB96)-1)</f>
        <v/>
      </c>
      <c r="AE96">
        <f>IF(AC96&lt;=0,"",RANK(AC96,$AC$2:$AC$501,0)+COUNTIFS($AC$2:AC96,AC96)-1)</f>
        <v/>
      </c>
    </row>
    <row r="97">
      <c r="AA97">
        <f>IFERROR(INDEX(DailyRouteRecordTable[Route],ROW()-1),"")</f>
        <v/>
      </c>
      <c r="AB97">
        <f>IF(AA97="","",IF(COUNTIF($AA$2:AA97,AA97)&gt;1,0,SUMPRODUCT((DailyRouteRecordTable[Route]=AA97)*(IF($B$6="All",1,IFERROR(--MID(DailyRouteRecordTable[Departure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7">
        <f>IF(AA97="","",IF(COUNTIF($AA$2:AA97,AA97)&gt;1,0,SUMPRODUCT((DailyRouteRecordTable[Route]=AA97)*(IF($B$6="All",1,IFERROR(--MID(DailyRouteRecordTable[Departure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7">
        <f>IF(AB97&lt;=0,"",RANK(AB97,$AB$2:$AB$501,0)+COUNTIFS($AB$2:AB97,AB97)-1)</f>
        <v/>
      </c>
      <c r="AE97">
        <f>IF(AC97&lt;=0,"",RANK(AC97,$AC$2:$AC$501,0)+COUNTIFS($AC$2:AC97,AC97)-1)</f>
        <v/>
      </c>
    </row>
    <row r="98">
      <c r="AA98">
        <f>IFERROR(INDEX(DailyRouteRecordTable[Route],ROW()-1),"")</f>
        <v/>
      </c>
      <c r="AB98">
        <f>IF(AA98="","",IF(COUNTIF($AA$2:AA98,AA98)&gt;1,0,SUMPRODUCT((DailyRouteRecordTable[Route]=AA98)*(IF($B$6="All",1,IFERROR(--MID(DailyRouteRecordTable[Departure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8">
        <f>IF(AA98="","",IF(COUNTIF($AA$2:AA98,AA98)&gt;1,0,SUMPRODUCT((DailyRouteRecordTable[Route]=AA98)*(IF($B$6="All",1,IFERROR(--MID(DailyRouteRecordTable[Departure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8">
        <f>IF(AB98&lt;=0,"",RANK(AB98,$AB$2:$AB$501,0)+COUNTIFS($AB$2:AB98,AB98)-1)</f>
        <v/>
      </c>
      <c r="AE98">
        <f>IF(AC98&lt;=0,"",RANK(AC98,$AC$2:$AC$501,0)+COUNTIFS($AC$2:AC98,AC98)-1)</f>
        <v/>
      </c>
    </row>
    <row r="99">
      <c r="AA99">
        <f>IFERROR(INDEX(DailyRouteRecordTable[Route],ROW()-1),"")</f>
        <v/>
      </c>
      <c r="AB99">
        <f>IF(AA99="","",IF(COUNTIF($AA$2:AA99,AA99)&gt;1,0,SUMPRODUCT((DailyRouteRecordTable[Route]=AA99)*(IF($B$6="All",1,IFERROR(--MID(DailyRouteRecordTable[Departure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99">
        <f>IF(AA99="","",IF(COUNTIF($AA$2:AA99,AA99)&gt;1,0,SUMPRODUCT((DailyRouteRecordTable[Route]=AA99)*(IF($B$6="All",1,IFERROR(--MID(DailyRouteRecordTable[Departure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99">
        <f>IF(AB99&lt;=0,"",RANK(AB99,$AB$2:$AB$501,0)+COUNTIFS($AB$2:AB99,AB99)-1)</f>
        <v/>
      </c>
      <c r="AE99">
        <f>IF(AC99&lt;=0,"",RANK(AC99,$AC$2:$AC$501,0)+COUNTIFS($AC$2:AC99,AC99)-1)</f>
        <v/>
      </c>
    </row>
    <row r="100">
      <c r="AA100">
        <f>IFERROR(INDEX(DailyRouteRecordTable[Route],ROW()-1),"")</f>
        <v/>
      </c>
      <c r="AB100">
        <f>IF(AA100="","",IF(COUNTIF($AA$2:AA100,AA100)&gt;1,0,SUMPRODUCT((DailyRouteRecordTable[Route]=AA100)*(IF($B$6="All",1,IFERROR(--MID(DailyRouteRecordTable[Departure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0">
        <f>IF(AA100="","",IF(COUNTIF($AA$2:AA100,AA100)&gt;1,0,SUMPRODUCT((DailyRouteRecordTable[Route]=AA100)*(IF($B$6="All",1,IFERROR(--MID(DailyRouteRecordTable[Departure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0">
        <f>IF(AB100&lt;=0,"",RANK(AB100,$AB$2:$AB$501,0)+COUNTIFS($AB$2:AB100,AB100)-1)</f>
        <v/>
      </c>
      <c r="AE100">
        <f>IF(AC100&lt;=0,"",RANK(AC100,$AC$2:$AC$501,0)+COUNTIFS($AC$2:AC100,AC100)-1)</f>
        <v/>
      </c>
    </row>
    <row r="101">
      <c r="AA101">
        <f>IFERROR(INDEX(DailyRouteRecordTable[Route],ROW()-1),"")</f>
        <v/>
      </c>
      <c r="AB101">
        <f>IF(AA101="","",IF(COUNTIF($AA$2:AA101,AA101)&gt;1,0,SUMPRODUCT((DailyRouteRecordTable[Route]=AA101)*(IF($B$6="All",1,IFERROR(--MID(DailyRouteRecordTable[Departure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1">
        <f>IF(AA101="","",IF(COUNTIF($AA$2:AA101,AA101)&gt;1,0,SUMPRODUCT((DailyRouteRecordTable[Route]=AA101)*(IF($B$6="All",1,IFERROR(--MID(DailyRouteRecordTable[Departure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1">
        <f>IF(AB101&lt;=0,"",RANK(AB101,$AB$2:$AB$501,0)+COUNTIFS($AB$2:AB101,AB101)-1)</f>
        <v/>
      </c>
      <c r="AE101">
        <f>IF(AC101&lt;=0,"",RANK(AC101,$AC$2:$AC$501,0)+COUNTIFS($AC$2:AC101,AC101)-1)</f>
        <v/>
      </c>
    </row>
    <row r="102">
      <c r="AA102">
        <f>IFERROR(INDEX(DailyRouteRecordTable[Route],ROW()-1),"")</f>
        <v/>
      </c>
      <c r="AB102">
        <f>IF(AA102="","",IF(COUNTIF($AA$2:AA102,AA102)&gt;1,0,SUMPRODUCT((DailyRouteRecordTable[Route]=AA102)*(IF($B$6="All",1,IFERROR(--MID(DailyRouteRecordTable[Departure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2">
        <f>IF(AA102="","",IF(COUNTIF($AA$2:AA102,AA102)&gt;1,0,SUMPRODUCT((DailyRouteRecordTable[Route]=AA102)*(IF($B$6="All",1,IFERROR(--MID(DailyRouteRecordTable[Departure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2">
        <f>IF(AB102&lt;=0,"",RANK(AB102,$AB$2:$AB$501,0)+COUNTIFS($AB$2:AB102,AB102)-1)</f>
        <v/>
      </c>
      <c r="AE102">
        <f>IF(AC102&lt;=0,"",RANK(AC102,$AC$2:$AC$501,0)+COUNTIFS($AC$2:AC102,AC102)-1)</f>
        <v/>
      </c>
    </row>
    <row r="103">
      <c r="AA103">
        <f>IFERROR(INDEX(DailyRouteRecordTable[Route],ROW()-1),"")</f>
        <v/>
      </c>
      <c r="AB103">
        <f>IF(AA103="","",IF(COUNTIF($AA$2:AA103,AA103)&gt;1,0,SUMPRODUCT((DailyRouteRecordTable[Route]=AA103)*(IF($B$6="All",1,IFERROR(--MID(DailyRouteRecordTable[Departure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3">
        <f>IF(AA103="","",IF(COUNTIF($AA$2:AA103,AA103)&gt;1,0,SUMPRODUCT((DailyRouteRecordTable[Route]=AA103)*(IF($B$6="All",1,IFERROR(--MID(DailyRouteRecordTable[Departure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3">
        <f>IF(AB103&lt;=0,"",RANK(AB103,$AB$2:$AB$501,0)+COUNTIFS($AB$2:AB103,AB103)-1)</f>
        <v/>
      </c>
      <c r="AE103">
        <f>IF(AC103&lt;=0,"",RANK(AC103,$AC$2:$AC$501,0)+COUNTIFS($AC$2:AC103,AC103)-1)</f>
        <v/>
      </c>
    </row>
    <row r="104">
      <c r="AA104">
        <f>IFERROR(INDEX(DailyRouteRecordTable[Route],ROW()-1),"")</f>
        <v/>
      </c>
      <c r="AB104">
        <f>IF(AA104="","",IF(COUNTIF($AA$2:AA104,AA104)&gt;1,0,SUMPRODUCT((DailyRouteRecordTable[Route]=AA104)*(IF($B$6="All",1,IFERROR(--MID(DailyRouteRecordTable[Departure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4">
        <f>IF(AA104="","",IF(COUNTIF($AA$2:AA104,AA104)&gt;1,0,SUMPRODUCT((DailyRouteRecordTable[Route]=AA104)*(IF($B$6="All",1,IFERROR(--MID(DailyRouteRecordTable[Departure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4">
        <f>IF(AB104&lt;=0,"",RANK(AB104,$AB$2:$AB$501,0)+COUNTIFS($AB$2:AB104,AB104)-1)</f>
        <v/>
      </c>
      <c r="AE104">
        <f>IF(AC104&lt;=0,"",RANK(AC104,$AC$2:$AC$501,0)+COUNTIFS($AC$2:AC104,AC104)-1)</f>
        <v/>
      </c>
    </row>
    <row r="105">
      <c r="AA105">
        <f>IFERROR(INDEX(DailyRouteRecordTable[Route],ROW()-1),"")</f>
        <v/>
      </c>
      <c r="AB105">
        <f>IF(AA105="","",IF(COUNTIF($AA$2:AA105,AA105)&gt;1,0,SUMPRODUCT((DailyRouteRecordTable[Route]=AA105)*(IF($B$6="All",1,IFERROR(--MID(DailyRouteRecordTable[Departure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5">
        <f>IF(AA105="","",IF(COUNTIF($AA$2:AA105,AA105)&gt;1,0,SUMPRODUCT((DailyRouteRecordTable[Route]=AA105)*(IF($B$6="All",1,IFERROR(--MID(DailyRouteRecordTable[Departure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5">
        <f>IF(AB105&lt;=0,"",RANK(AB105,$AB$2:$AB$501,0)+COUNTIFS($AB$2:AB105,AB105)-1)</f>
        <v/>
      </c>
      <c r="AE105">
        <f>IF(AC105&lt;=0,"",RANK(AC105,$AC$2:$AC$501,0)+COUNTIFS($AC$2:AC105,AC105)-1)</f>
        <v/>
      </c>
    </row>
    <row r="106">
      <c r="AA106">
        <f>IFERROR(INDEX(DailyRouteRecordTable[Route],ROW()-1),"")</f>
        <v/>
      </c>
      <c r="AB106">
        <f>IF(AA106="","",IF(COUNTIF($AA$2:AA106,AA106)&gt;1,0,SUMPRODUCT((DailyRouteRecordTable[Route]=AA106)*(IF($B$6="All",1,IFERROR(--MID(DailyRouteRecordTable[Departure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6">
        <f>IF(AA106="","",IF(COUNTIF($AA$2:AA106,AA106)&gt;1,0,SUMPRODUCT((DailyRouteRecordTable[Route]=AA106)*(IF($B$6="All",1,IFERROR(--MID(DailyRouteRecordTable[Departure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6">
        <f>IF(AB106&lt;=0,"",RANK(AB106,$AB$2:$AB$501,0)+COUNTIFS($AB$2:AB106,AB106)-1)</f>
        <v/>
      </c>
      <c r="AE106">
        <f>IF(AC106&lt;=0,"",RANK(AC106,$AC$2:$AC$501,0)+COUNTIFS($AC$2:AC106,AC106)-1)</f>
        <v/>
      </c>
    </row>
    <row r="107">
      <c r="AA107">
        <f>IFERROR(INDEX(DailyRouteRecordTable[Route],ROW()-1),"")</f>
        <v/>
      </c>
      <c r="AB107">
        <f>IF(AA107="","",IF(COUNTIF($AA$2:AA107,AA107)&gt;1,0,SUMPRODUCT((DailyRouteRecordTable[Route]=AA107)*(IF($B$6="All",1,IFERROR(--MID(DailyRouteRecordTable[Departure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7">
        <f>IF(AA107="","",IF(COUNTIF($AA$2:AA107,AA107)&gt;1,0,SUMPRODUCT((DailyRouteRecordTable[Route]=AA107)*(IF($B$6="All",1,IFERROR(--MID(DailyRouteRecordTable[Departure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7">
        <f>IF(AB107&lt;=0,"",RANK(AB107,$AB$2:$AB$501,0)+COUNTIFS($AB$2:AB107,AB107)-1)</f>
        <v/>
      </c>
      <c r="AE107">
        <f>IF(AC107&lt;=0,"",RANK(AC107,$AC$2:$AC$501,0)+COUNTIFS($AC$2:AC107,AC107)-1)</f>
        <v/>
      </c>
    </row>
    <row r="108">
      <c r="AA108">
        <f>IFERROR(INDEX(DailyRouteRecordTable[Route],ROW()-1),"")</f>
        <v/>
      </c>
      <c r="AB108">
        <f>IF(AA108="","",IF(COUNTIF($AA$2:AA108,AA108)&gt;1,0,SUMPRODUCT((DailyRouteRecordTable[Route]=AA108)*(IF($B$6="All",1,IFERROR(--MID(DailyRouteRecordTable[Departure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8">
        <f>IF(AA108="","",IF(COUNTIF($AA$2:AA108,AA108)&gt;1,0,SUMPRODUCT((DailyRouteRecordTable[Route]=AA108)*(IF($B$6="All",1,IFERROR(--MID(DailyRouteRecordTable[Departure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8">
        <f>IF(AB108&lt;=0,"",RANK(AB108,$AB$2:$AB$501,0)+COUNTIFS($AB$2:AB108,AB108)-1)</f>
        <v/>
      </c>
      <c r="AE108">
        <f>IF(AC108&lt;=0,"",RANK(AC108,$AC$2:$AC$501,0)+COUNTIFS($AC$2:AC108,AC108)-1)</f>
        <v/>
      </c>
    </row>
    <row r="109">
      <c r="AA109">
        <f>IFERROR(INDEX(DailyRouteRecordTable[Route],ROW()-1),"")</f>
        <v/>
      </c>
      <c r="AB109">
        <f>IF(AA109="","",IF(COUNTIF($AA$2:AA109,AA109)&gt;1,0,SUMPRODUCT((DailyRouteRecordTable[Route]=AA109)*(IF($B$6="All",1,IFERROR(--MID(DailyRouteRecordTable[Departure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09">
        <f>IF(AA109="","",IF(COUNTIF($AA$2:AA109,AA109)&gt;1,0,SUMPRODUCT((DailyRouteRecordTable[Route]=AA109)*(IF($B$6="All",1,IFERROR(--MID(DailyRouteRecordTable[Departure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09">
        <f>IF(AB109&lt;=0,"",RANK(AB109,$AB$2:$AB$501,0)+COUNTIFS($AB$2:AB109,AB109)-1)</f>
        <v/>
      </c>
      <c r="AE109">
        <f>IF(AC109&lt;=0,"",RANK(AC109,$AC$2:$AC$501,0)+COUNTIFS($AC$2:AC109,AC109)-1)</f>
        <v/>
      </c>
    </row>
    <row r="110">
      <c r="AA110">
        <f>IFERROR(INDEX(DailyRouteRecordTable[Route],ROW()-1),"")</f>
        <v/>
      </c>
      <c r="AB110">
        <f>IF(AA110="","",IF(COUNTIF($AA$2:AA110,AA110)&gt;1,0,SUMPRODUCT((DailyRouteRecordTable[Route]=AA110)*(IF($B$6="All",1,IFERROR(--MID(DailyRouteRecordTable[Departure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0">
        <f>IF(AA110="","",IF(COUNTIF($AA$2:AA110,AA110)&gt;1,0,SUMPRODUCT((DailyRouteRecordTable[Route]=AA110)*(IF($B$6="All",1,IFERROR(--MID(DailyRouteRecordTable[Departure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0">
        <f>IF(AB110&lt;=0,"",RANK(AB110,$AB$2:$AB$501,0)+COUNTIFS($AB$2:AB110,AB110)-1)</f>
        <v/>
      </c>
      <c r="AE110">
        <f>IF(AC110&lt;=0,"",RANK(AC110,$AC$2:$AC$501,0)+COUNTIFS($AC$2:AC110,AC110)-1)</f>
        <v/>
      </c>
    </row>
    <row r="111">
      <c r="AA111">
        <f>IFERROR(INDEX(DailyRouteRecordTable[Route],ROW()-1),"")</f>
        <v/>
      </c>
      <c r="AB111">
        <f>IF(AA111="","",IF(COUNTIF($AA$2:AA111,AA111)&gt;1,0,SUMPRODUCT((DailyRouteRecordTable[Route]=AA111)*(IF($B$6="All",1,IFERROR(--MID(DailyRouteRecordTable[Departure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1">
        <f>IF(AA111="","",IF(COUNTIF($AA$2:AA111,AA111)&gt;1,0,SUMPRODUCT((DailyRouteRecordTable[Route]=AA111)*(IF($B$6="All",1,IFERROR(--MID(DailyRouteRecordTable[Departure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1">
        <f>IF(AB111&lt;=0,"",RANK(AB111,$AB$2:$AB$501,0)+COUNTIFS($AB$2:AB111,AB111)-1)</f>
        <v/>
      </c>
      <c r="AE111">
        <f>IF(AC111&lt;=0,"",RANK(AC111,$AC$2:$AC$501,0)+COUNTIFS($AC$2:AC111,AC111)-1)</f>
        <v/>
      </c>
    </row>
    <row r="112">
      <c r="AA112">
        <f>IFERROR(INDEX(DailyRouteRecordTable[Route],ROW()-1),"")</f>
        <v/>
      </c>
      <c r="AB112">
        <f>IF(AA112="","",IF(COUNTIF($AA$2:AA112,AA112)&gt;1,0,SUMPRODUCT((DailyRouteRecordTable[Route]=AA112)*(IF($B$6="All",1,IFERROR(--MID(DailyRouteRecordTable[Departure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2">
        <f>IF(AA112="","",IF(COUNTIF($AA$2:AA112,AA112)&gt;1,0,SUMPRODUCT((DailyRouteRecordTable[Route]=AA112)*(IF($B$6="All",1,IFERROR(--MID(DailyRouteRecordTable[Departure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2">
        <f>IF(AB112&lt;=0,"",RANK(AB112,$AB$2:$AB$501,0)+COUNTIFS($AB$2:AB112,AB112)-1)</f>
        <v/>
      </c>
      <c r="AE112">
        <f>IF(AC112&lt;=0,"",RANK(AC112,$AC$2:$AC$501,0)+COUNTIFS($AC$2:AC112,AC112)-1)</f>
        <v/>
      </c>
    </row>
    <row r="113">
      <c r="AA113">
        <f>IFERROR(INDEX(DailyRouteRecordTable[Route],ROW()-1),"")</f>
        <v/>
      </c>
      <c r="AB113">
        <f>IF(AA113="","",IF(COUNTIF($AA$2:AA113,AA113)&gt;1,0,SUMPRODUCT((DailyRouteRecordTable[Route]=AA113)*(IF($B$6="All",1,IFERROR(--MID(DailyRouteRecordTable[Departure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3">
        <f>IF(AA113="","",IF(COUNTIF($AA$2:AA113,AA113)&gt;1,0,SUMPRODUCT((DailyRouteRecordTable[Route]=AA113)*(IF($B$6="All",1,IFERROR(--MID(DailyRouteRecordTable[Departure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3">
        <f>IF(AB113&lt;=0,"",RANK(AB113,$AB$2:$AB$501,0)+COUNTIFS($AB$2:AB113,AB113)-1)</f>
        <v/>
      </c>
      <c r="AE113">
        <f>IF(AC113&lt;=0,"",RANK(AC113,$AC$2:$AC$501,0)+COUNTIFS($AC$2:AC113,AC113)-1)</f>
        <v/>
      </c>
    </row>
    <row r="114">
      <c r="AA114">
        <f>IFERROR(INDEX(DailyRouteRecordTable[Route],ROW()-1),"")</f>
        <v/>
      </c>
      <c r="AB114">
        <f>IF(AA114="","",IF(COUNTIF($AA$2:AA114,AA114)&gt;1,0,SUMPRODUCT((DailyRouteRecordTable[Route]=AA114)*(IF($B$6="All",1,IFERROR(--MID(DailyRouteRecordTable[Departure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4">
        <f>IF(AA114="","",IF(COUNTIF($AA$2:AA114,AA114)&gt;1,0,SUMPRODUCT((DailyRouteRecordTable[Route]=AA114)*(IF($B$6="All",1,IFERROR(--MID(DailyRouteRecordTable[Departure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4">
        <f>IF(AB114&lt;=0,"",RANK(AB114,$AB$2:$AB$501,0)+COUNTIFS($AB$2:AB114,AB114)-1)</f>
        <v/>
      </c>
      <c r="AE114">
        <f>IF(AC114&lt;=0,"",RANK(AC114,$AC$2:$AC$501,0)+COUNTIFS($AC$2:AC114,AC114)-1)</f>
        <v/>
      </c>
    </row>
    <row r="115">
      <c r="AA115">
        <f>IFERROR(INDEX(DailyRouteRecordTable[Route],ROW()-1),"")</f>
        <v/>
      </c>
      <c r="AB115">
        <f>IF(AA115="","",IF(COUNTIF($AA$2:AA115,AA115)&gt;1,0,SUMPRODUCT((DailyRouteRecordTable[Route]=AA115)*(IF($B$6="All",1,IFERROR(--MID(DailyRouteRecordTable[Departure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5">
        <f>IF(AA115="","",IF(COUNTIF($AA$2:AA115,AA115)&gt;1,0,SUMPRODUCT((DailyRouteRecordTable[Route]=AA115)*(IF($B$6="All",1,IFERROR(--MID(DailyRouteRecordTable[Departure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5">
        <f>IF(AB115&lt;=0,"",RANK(AB115,$AB$2:$AB$501,0)+COUNTIFS($AB$2:AB115,AB115)-1)</f>
        <v/>
      </c>
      <c r="AE115">
        <f>IF(AC115&lt;=0,"",RANK(AC115,$AC$2:$AC$501,0)+COUNTIFS($AC$2:AC115,AC115)-1)</f>
        <v/>
      </c>
    </row>
    <row r="116">
      <c r="AA116">
        <f>IFERROR(INDEX(DailyRouteRecordTable[Route],ROW()-1),"")</f>
        <v/>
      </c>
      <c r="AB116">
        <f>IF(AA116="","",IF(COUNTIF($AA$2:AA116,AA116)&gt;1,0,SUMPRODUCT((DailyRouteRecordTable[Route]=AA116)*(IF($B$6="All",1,IFERROR(--MID(DailyRouteRecordTable[Departure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6">
        <f>IF(AA116="","",IF(COUNTIF($AA$2:AA116,AA116)&gt;1,0,SUMPRODUCT((DailyRouteRecordTable[Route]=AA116)*(IF($B$6="All",1,IFERROR(--MID(DailyRouteRecordTable[Departure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6">
        <f>IF(AB116&lt;=0,"",RANK(AB116,$AB$2:$AB$501,0)+COUNTIFS($AB$2:AB116,AB116)-1)</f>
        <v/>
      </c>
      <c r="AE116">
        <f>IF(AC116&lt;=0,"",RANK(AC116,$AC$2:$AC$501,0)+COUNTIFS($AC$2:AC116,AC116)-1)</f>
        <v/>
      </c>
    </row>
    <row r="117">
      <c r="AA117">
        <f>IFERROR(INDEX(DailyRouteRecordTable[Route],ROW()-1),"")</f>
        <v/>
      </c>
      <c r="AB117">
        <f>IF(AA117="","",IF(COUNTIF($AA$2:AA117,AA117)&gt;1,0,SUMPRODUCT((DailyRouteRecordTable[Route]=AA117)*(IF($B$6="All",1,IFERROR(--MID(DailyRouteRecordTable[Departure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7">
        <f>IF(AA117="","",IF(COUNTIF($AA$2:AA117,AA117)&gt;1,0,SUMPRODUCT((DailyRouteRecordTable[Route]=AA117)*(IF($B$6="All",1,IFERROR(--MID(DailyRouteRecordTable[Departure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7">
        <f>IF(AB117&lt;=0,"",RANK(AB117,$AB$2:$AB$501,0)+COUNTIFS($AB$2:AB117,AB117)-1)</f>
        <v/>
      </c>
      <c r="AE117">
        <f>IF(AC117&lt;=0,"",RANK(AC117,$AC$2:$AC$501,0)+COUNTIFS($AC$2:AC117,AC117)-1)</f>
        <v/>
      </c>
    </row>
    <row r="118">
      <c r="AA118">
        <f>IFERROR(INDEX(DailyRouteRecordTable[Route],ROW()-1),"")</f>
        <v/>
      </c>
      <c r="AB118">
        <f>IF(AA118="","",IF(COUNTIF($AA$2:AA118,AA118)&gt;1,0,SUMPRODUCT((DailyRouteRecordTable[Route]=AA118)*(IF($B$6="All",1,IFERROR(--MID(DailyRouteRecordTable[Departure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8">
        <f>IF(AA118="","",IF(COUNTIF($AA$2:AA118,AA118)&gt;1,0,SUMPRODUCT((DailyRouteRecordTable[Route]=AA118)*(IF($B$6="All",1,IFERROR(--MID(DailyRouteRecordTable[Departure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8">
        <f>IF(AB118&lt;=0,"",RANK(AB118,$AB$2:$AB$501,0)+COUNTIFS($AB$2:AB118,AB118)-1)</f>
        <v/>
      </c>
      <c r="AE118">
        <f>IF(AC118&lt;=0,"",RANK(AC118,$AC$2:$AC$501,0)+COUNTIFS($AC$2:AC118,AC118)-1)</f>
        <v/>
      </c>
    </row>
    <row r="119">
      <c r="AA119">
        <f>IFERROR(INDEX(DailyRouteRecordTable[Route],ROW()-1),"")</f>
        <v/>
      </c>
      <c r="AB119">
        <f>IF(AA119="","",IF(COUNTIF($AA$2:AA119,AA119)&gt;1,0,SUMPRODUCT((DailyRouteRecordTable[Route]=AA119)*(IF($B$6="All",1,IFERROR(--MID(DailyRouteRecordTable[Departure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19">
        <f>IF(AA119="","",IF(COUNTIF($AA$2:AA119,AA119)&gt;1,0,SUMPRODUCT((DailyRouteRecordTable[Route]=AA119)*(IF($B$6="All",1,IFERROR(--MID(DailyRouteRecordTable[Departure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19">
        <f>IF(AB119&lt;=0,"",RANK(AB119,$AB$2:$AB$501,0)+COUNTIFS($AB$2:AB119,AB119)-1)</f>
        <v/>
      </c>
      <c r="AE119">
        <f>IF(AC119&lt;=0,"",RANK(AC119,$AC$2:$AC$501,0)+COUNTIFS($AC$2:AC119,AC119)-1)</f>
        <v/>
      </c>
    </row>
    <row r="120">
      <c r="AA120">
        <f>IFERROR(INDEX(DailyRouteRecordTable[Route],ROW()-1),"")</f>
        <v/>
      </c>
      <c r="AB120">
        <f>IF(AA120="","",IF(COUNTIF($AA$2:AA120,AA120)&gt;1,0,SUMPRODUCT((DailyRouteRecordTable[Route]=AA120)*(IF($B$6="All",1,IFERROR(--MID(DailyRouteRecordTable[Departure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0">
        <f>IF(AA120="","",IF(COUNTIF($AA$2:AA120,AA120)&gt;1,0,SUMPRODUCT((DailyRouteRecordTable[Route]=AA120)*(IF($B$6="All",1,IFERROR(--MID(DailyRouteRecordTable[Departure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0">
        <f>IF(AB120&lt;=0,"",RANK(AB120,$AB$2:$AB$501,0)+COUNTIFS($AB$2:AB120,AB120)-1)</f>
        <v/>
      </c>
      <c r="AE120">
        <f>IF(AC120&lt;=0,"",RANK(AC120,$AC$2:$AC$501,0)+COUNTIFS($AC$2:AC120,AC120)-1)</f>
        <v/>
      </c>
    </row>
    <row r="121">
      <c r="AA121">
        <f>IFERROR(INDEX(DailyRouteRecordTable[Route],ROW()-1),"")</f>
        <v/>
      </c>
      <c r="AB121">
        <f>IF(AA121="","",IF(COUNTIF($AA$2:AA121,AA121)&gt;1,0,SUMPRODUCT((DailyRouteRecordTable[Route]=AA121)*(IF($B$6="All",1,IFERROR(--MID(DailyRouteRecordTable[Departure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1">
        <f>IF(AA121="","",IF(COUNTIF($AA$2:AA121,AA121)&gt;1,0,SUMPRODUCT((DailyRouteRecordTable[Route]=AA121)*(IF($B$6="All",1,IFERROR(--MID(DailyRouteRecordTable[Departure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1">
        <f>IF(AB121&lt;=0,"",RANK(AB121,$AB$2:$AB$501,0)+COUNTIFS($AB$2:AB121,AB121)-1)</f>
        <v/>
      </c>
      <c r="AE121">
        <f>IF(AC121&lt;=0,"",RANK(AC121,$AC$2:$AC$501,0)+COUNTIFS($AC$2:AC121,AC121)-1)</f>
        <v/>
      </c>
    </row>
    <row r="122">
      <c r="AA122">
        <f>IFERROR(INDEX(DailyRouteRecordTable[Route],ROW()-1),"")</f>
        <v/>
      </c>
      <c r="AB122">
        <f>IF(AA122="","",IF(COUNTIF($AA$2:AA122,AA122)&gt;1,0,SUMPRODUCT((DailyRouteRecordTable[Route]=AA122)*(IF($B$6="All",1,IFERROR(--MID(DailyRouteRecordTable[Departure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2">
        <f>IF(AA122="","",IF(COUNTIF($AA$2:AA122,AA122)&gt;1,0,SUMPRODUCT((DailyRouteRecordTable[Route]=AA122)*(IF($B$6="All",1,IFERROR(--MID(DailyRouteRecordTable[Departure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2">
        <f>IF(AB122&lt;=0,"",RANK(AB122,$AB$2:$AB$501,0)+COUNTIFS($AB$2:AB122,AB122)-1)</f>
        <v/>
      </c>
      <c r="AE122">
        <f>IF(AC122&lt;=0,"",RANK(AC122,$AC$2:$AC$501,0)+COUNTIFS($AC$2:AC122,AC122)-1)</f>
        <v/>
      </c>
    </row>
    <row r="123">
      <c r="AA123">
        <f>IFERROR(INDEX(DailyRouteRecordTable[Route],ROW()-1),"")</f>
        <v/>
      </c>
      <c r="AB123">
        <f>IF(AA123="","",IF(COUNTIF($AA$2:AA123,AA123)&gt;1,0,SUMPRODUCT((DailyRouteRecordTable[Route]=AA123)*(IF($B$6="All",1,IFERROR(--MID(DailyRouteRecordTable[Departure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3">
        <f>IF(AA123="","",IF(COUNTIF($AA$2:AA123,AA123)&gt;1,0,SUMPRODUCT((DailyRouteRecordTable[Route]=AA123)*(IF($B$6="All",1,IFERROR(--MID(DailyRouteRecordTable[Departure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3">
        <f>IF(AB123&lt;=0,"",RANK(AB123,$AB$2:$AB$501,0)+COUNTIFS($AB$2:AB123,AB123)-1)</f>
        <v/>
      </c>
      <c r="AE123">
        <f>IF(AC123&lt;=0,"",RANK(AC123,$AC$2:$AC$501,0)+COUNTIFS($AC$2:AC123,AC123)-1)</f>
        <v/>
      </c>
    </row>
    <row r="124">
      <c r="AA124">
        <f>IFERROR(INDEX(DailyRouteRecordTable[Route],ROW()-1),"")</f>
        <v/>
      </c>
      <c r="AB124">
        <f>IF(AA124="","",IF(COUNTIF($AA$2:AA124,AA124)&gt;1,0,SUMPRODUCT((DailyRouteRecordTable[Route]=AA124)*(IF($B$6="All",1,IFERROR(--MID(DailyRouteRecordTable[Departure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4">
        <f>IF(AA124="","",IF(COUNTIF($AA$2:AA124,AA124)&gt;1,0,SUMPRODUCT((DailyRouteRecordTable[Route]=AA124)*(IF($B$6="All",1,IFERROR(--MID(DailyRouteRecordTable[Departure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4">
        <f>IF(AB124&lt;=0,"",RANK(AB124,$AB$2:$AB$501,0)+COUNTIFS($AB$2:AB124,AB124)-1)</f>
        <v/>
      </c>
      <c r="AE124">
        <f>IF(AC124&lt;=0,"",RANK(AC124,$AC$2:$AC$501,0)+COUNTIFS($AC$2:AC124,AC124)-1)</f>
        <v/>
      </c>
    </row>
    <row r="125">
      <c r="AA125">
        <f>IFERROR(INDEX(DailyRouteRecordTable[Route],ROW()-1),"")</f>
        <v/>
      </c>
      <c r="AB125">
        <f>IF(AA125="","",IF(COUNTIF($AA$2:AA125,AA125)&gt;1,0,SUMPRODUCT((DailyRouteRecordTable[Route]=AA125)*(IF($B$6="All",1,IFERROR(--MID(DailyRouteRecordTable[Departure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5">
        <f>IF(AA125="","",IF(COUNTIF($AA$2:AA125,AA125)&gt;1,0,SUMPRODUCT((DailyRouteRecordTable[Route]=AA125)*(IF($B$6="All",1,IFERROR(--MID(DailyRouteRecordTable[Departure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5">
        <f>IF(AB125&lt;=0,"",RANK(AB125,$AB$2:$AB$501,0)+COUNTIFS($AB$2:AB125,AB125)-1)</f>
        <v/>
      </c>
      <c r="AE125">
        <f>IF(AC125&lt;=0,"",RANK(AC125,$AC$2:$AC$501,0)+COUNTIFS($AC$2:AC125,AC125)-1)</f>
        <v/>
      </c>
    </row>
    <row r="126">
      <c r="AA126">
        <f>IFERROR(INDEX(DailyRouteRecordTable[Route],ROW()-1),"")</f>
        <v/>
      </c>
      <c r="AB126">
        <f>IF(AA126="","",IF(COUNTIF($AA$2:AA126,AA126)&gt;1,0,SUMPRODUCT((DailyRouteRecordTable[Route]=AA126)*(IF($B$6="All",1,IFERROR(--MID(DailyRouteRecordTable[Departure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6">
        <f>IF(AA126="","",IF(COUNTIF($AA$2:AA126,AA126)&gt;1,0,SUMPRODUCT((DailyRouteRecordTable[Route]=AA126)*(IF($B$6="All",1,IFERROR(--MID(DailyRouteRecordTable[Departure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6">
        <f>IF(AB126&lt;=0,"",RANK(AB126,$AB$2:$AB$501,0)+COUNTIFS($AB$2:AB126,AB126)-1)</f>
        <v/>
      </c>
      <c r="AE126">
        <f>IF(AC126&lt;=0,"",RANK(AC126,$AC$2:$AC$501,0)+COUNTIFS($AC$2:AC126,AC126)-1)</f>
        <v/>
      </c>
    </row>
    <row r="127">
      <c r="AA127">
        <f>IFERROR(INDEX(DailyRouteRecordTable[Route],ROW()-1),"")</f>
        <v/>
      </c>
      <c r="AB127">
        <f>IF(AA127="","",IF(COUNTIF($AA$2:AA127,AA127)&gt;1,0,SUMPRODUCT((DailyRouteRecordTable[Route]=AA127)*(IF($B$6="All",1,IFERROR(--MID(DailyRouteRecordTable[Departure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7">
        <f>IF(AA127="","",IF(COUNTIF($AA$2:AA127,AA127)&gt;1,0,SUMPRODUCT((DailyRouteRecordTable[Route]=AA127)*(IF($B$6="All",1,IFERROR(--MID(DailyRouteRecordTable[Departure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7">
        <f>IF(AB127&lt;=0,"",RANK(AB127,$AB$2:$AB$501,0)+COUNTIFS($AB$2:AB127,AB127)-1)</f>
        <v/>
      </c>
      <c r="AE127">
        <f>IF(AC127&lt;=0,"",RANK(AC127,$AC$2:$AC$501,0)+COUNTIFS($AC$2:AC127,AC127)-1)</f>
        <v/>
      </c>
    </row>
    <row r="128">
      <c r="AA128">
        <f>IFERROR(INDEX(DailyRouteRecordTable[Route],ROW()-1),"")</f>
        <v/>
      </c>
      <c r="AB128">
        <f>IF(AA128="","",IF(COUNTIF($AA$2:AA128,AA128)&gt;1,0,SUMPRODUCT((DailyRouteRecordTable[Route]=AA128)*(IF($B$6="All",1,IFERROR(--MID(DailyRouteRecordTable[Departure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8">
        <f>IF(AA128="","",IF(COUNTIF($AA$2:AA128,AA128)&gt;1,0,SUMPRODUCT((DailyRouteRecordTable[Route]=AA128)*(IF($B$6="All",1,IFERROR(--MID(DailyRouteRecordTable[Departure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8">
        <f>IF(AB128&lt;=0,"",RANK(AB128,$AB$2:$AB$501,0)+COUNTIFS($AB$2:AB128,AB128)-1)</f>
        <v/>
      </c>
      <c r="AE128">
        <f>IF(AC128&lt;=0,"",RANK(AC128,$AC$2:$AC$501,0)+COUNTIFS($AC$2:AC128,AC128)-1)</f>
        <v/>
      </c>
    </row>
    <row r="129">
      <c r="AA129">
        <f>IFERROR(INDEX(DailyRouteRecordTable[Route],ROW()-1),"")</f>
        <v/>
      </c>
      <c r="AB129">
        <f>IF(AA129="","",IF(COUNTIF($AA$2:AA129,AA129)&gt;1,0,SUMPRODUCT((DailyRouteRecordTable[Route]=AA129)*(IF($B$6="All",1,IFERROR(--MID(DailyRouteRecordTable[Departure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29">
        <f>IF(AA129="","",IF(COUNTIF($AA$2:AA129,AA129)&gt;1,0,SUMPRODUCT((DailyRouteRecordTable[Route]=AA129)*(IF($B$6="All",1,IFERROR(--MID(DailyRouteRecordTable[Departure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29">
        <f>IF(AB129&lt;=0,"",RANK(AB129,$AB$2:$AB$501,0)+COUNTIFS($AB$2:AB129,AB129)-1)</f>
        <v/>
      </c>
      <c r="AE129">
        <f>IF(AC129&lt;=0,"",RANK(AC129,$AC$2:$AC$501,0)+COUNTIFS($AC$2:AC129,AC129)-1)</f>
        <v/>
      </c>
    </row>
    <row r="130">
      <c r="AA130">
        <f>IFERROR(INDEX(DailyRouteRecordTable[Route],ROW()-1),"")</f>
        <v/>
      </c>
      <c r="AB130">
        <f>IF(AA130="","",IF(COUNTIF($AA$2:AA130,AA130)&gt;1,0,SUMPRODUCT((DailyRouteRecordTable[Route]=AA130)*(IF($B$6="All",1,IFERROR(--MID(DailyRouteRecordTable[Departure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0">
        <f>IF(AA130="","",IF(COUNTIF($AA$2:AA130,AA130)&gt;1,0,SUMPRODUCT((DailyRouteRecordTable[Route]=AA130)*(IF($B$6="All",1,IFERROR(--MID(DailyRouteRecordTable[Departure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0">
        <f>IF(AB130&lt;=0,"",RANK(AB130,$AB$2:$AB$501,0)+COUNTIFS($AB$2:AB130,AB130)-1)</f>
        <v/>
      </c>
      <c r="AE130">
        <f>IF(AC130&lt;=0,"",RANK(AC130,$AC$2:$AC$501,0)+COUNTIFS($AC$2:AC130,AC130)-1)</f>
        <v/>
      </c>
    </row>
    <row r="131">
      <c r="AA131">
        <f>IFERROR(INDEX(DailyRouteRecordTable[Route],ROW()-1),"")</f>
        <v/>
      </c>
      <c r="AB131">
        <f>IF(AA131="","",IF(COUNTIF($AA$2:AA131,AA131)&gt;1,0,SUMPRODUCT((DailyRouteRecordTable[Route]=AA131)*(IF($B$6="All",1,IFERROR(--MID(DailyRouteRecordTable[Departure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1">
        <f>IF(AA131="","",IF(COUNTIF($AA$2:AA131,AA131)&gt;1,0,SUMPRODUCT((DailyRouteRecordTable[Route]=AA131)*(IF($B$6="All",1,IFERROR(--MID(DailyRouteRecordTable[Departure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1">
        <f>IF(AB131&lt;=0,"",RANK(AB131,$AB$2:$AB$501,0)+COUNTIFS($AB$2:AB131,AB131)-1)</f>
        <v/>
      </c>
      <c r="AE131">
        <f>IF(AC131&lt;=0,"",RANK(AC131,$AC$2:$AC$501,0)+COUNTIFS($AC$2:AC131,AC131)-1)</f>
        <v/>
      </c>
    </row>
    <row r="132">
      <c r="AA132">
        <f>IFERROR(INDEX(DailyRouteRecordTable[Route],ROW()-1),"")</f>
        <v/>
      </c>
      <c r="AB132">
        <f>IF(AA132="","",IF(COUNTIF($AA$2:AA132,AA132)&gt;1,0,SUMPRODUCT((DailyRouteRecordTable[Route]=AA132)*(IF($B$6="All",1,IFERROR(--MID(DailyRouteRecordTable[Departure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2">
        <f>IF(AA132="","",IF(COUNTIF($AA$2:AA132,AA132)&gt;1,0,SUMPRODUCT((DailyRouteRecordTable[Route]=AA132)*(IF($B$6="All",1,IFERROR(--MID(DailyRouteRecordTable[Departure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2">
        <f>IF(AB132&lt;=0,"",RANK(AB132,$AB$2:$AB$501,0)+COUNTIFS($AB$2:AB132,AB132)-1)</f>
        <v/>
      </c>
      <c r="AE132">
        <f>IF(AC132&lt;=0,"",RANK(AC132,$AC$2:$AC$501,0)+COUNTIFS($AC$2:AC132,AC132)-1)</f>
        <v/>
      </c>
    </row>
    <row r="133">
      <c r="AA133">
        <f>IFERROR(INDEX(DailyRouteRecordTable[Route],ROW()-1),"")</f>
        <v/>
      </c>
      <c r="AB133">
        <f>IF(AA133="","",IF(COUNTIF($AA$2:AA133,AA133)&gt;1,0,SUMPRODUCT((DailyRouteRecordTable[Route]=AA133)*(IF($B$6="All",1,IFERROR(--MID(DailyRouteRecordTable[Departure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3">
        <f>IF(AA133="","",IF(COUNTIF($AA$2:AA133,AA133)&gt;1,0,SUMPRODUCT((DailyRouteRecordTable[Route]=AA133)*(IF($B$6="All",1,IFERROR(--MID(DailyRouteRecordTable[Departure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3">
        <f>IF(AB133&lt;=0,"",RANK(AB133,$AB$2:$AB$501,0)+COUNTIFS($AB$2:AB133,AB133)-1)</f>
        <v/>
      </c>
      <c r="AE133">
        <f>IF(AC133&lt;=0,"",RANK(AC133,$AC$2:$AC$501,0)+COUNTIFS($AC$2:AC133,AC133)-1)</f>
        <v/>
      </c>
    </row>
    <row r="134">
      <c r="AA134">
        <f>IFERROR(INDEX(DailyRouteRecordTable[Route],ROW()-1),"")</f>
        <v/>
      </c>
      <c r="AB134">
        <f>IF(AA134="","",IF(COUNTIF($AA$2:AA134,AA134)&gt;1,0,SUMPRODUCT((DailyRouteRecordTable[Route]=AA134)*(IF($B$6="All",1,IFERROR(--MID(DailyRouteRecordTable[Departure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4">
        <f>IF(AA134="","",IF(COUNTIF($AA$2:AA134,AA134)&gt;1,0,SUMPRODUCT((DailyRouteRecordTable[Route]=AA134)*(IF($B$6="All",1,IFERROR(--MID(DailyRouteRecordTable[Departure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4">
        <f>IF(AB134&lt;=0,"",RANK(AB134,$AB$2:$AB$501,0)+COUNTIFS($AB$2:AB134,AB134)-1)</f>
        <v/>
      </c>
      <c r="AE134">
        <f>IF(AC134&lt;=0,"",RANK(AC134,$AC$2:$AC$501,0)+COUNTIFS($AC$2:AC134,AC134)-1)</f>
        <v/>
      </c>
    </row>
    <row r="135">
      <c r="AA135">
        <f>IFERROR(INDEX(DailyRouteRecordTable[Route],ROW()-1),"")</f>
        <v/>
      </c>
      <c r="AB135">
        <f>IF(AA135="","",IF(COUNTIF($AA$2:AA135,AA135)&gt;1,0,SUMPRODUCT((DailyRouteRecordTable[Route]=AA135)*(IF($B$6="All",1,IFERROR(--MID(DailyRouteRecordTable[Departure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5">
        <f>IF(AA135="","",IF(COUNTIF($AA$2:AA135,AA135)&gt;1,0,SUMPRODUCT((DailyRouteRecordTable[Route]=AA135)*(IF($B$6="All",1,IFERROR(--MID(DailyRouteRecordTable[Departure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5">
        <f>IF(AB135&lt;=0,"",RANK(AB135,$AB$2:$AB$501,0)+COUNTIFS($AB$2:AB135,AB135)-1)</f>
        <v/>
      </c>
      <c r="AE135">
        <f>IF(AC135&lt;=0,"",RANK(AC135,$AC$2:$AC$501,0)+COUNTIFS($AC$2:AC135,AC135)-1)</f>
        <v/>
      </c>
    </row>
    <row r="136">
      <c r="AA136">
        <f>IFERROR(INDEX(DailyRouteRecordTable[Route],ROW()-1),"")</f>
        <v/>
      </c>
      <c r="AB136">
        <f>IF(AA136="","",IF(COUNTIF($AA$2:AA136,AA136)&gt;1,0,SUMPRODUCT((DailyRouteRecordTable[Route]=AA136)*(IF($B$6="All",1,IFERROR(--MID(DailyRouteRecordTable[Departure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6">
        <f>IF(AA136="","",IF(COUNTIF($AA$2:AA136,AA136)&gt;1,0,SUMPRODUCT((DailyRouteRecordTable[Route]=AA136)*(IF($B$6="All",1,IFERROR(--MID(DailyRouteRecordTable[Departure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6">
        <f>IF(AB136&lt;=0,"",RANK(AB136,$AB$2:$AB$501,0)+COUNTIFS($AB$2:AB136,AB136)-1)</f>
        <v/>
      </c>
      <c r="AE136">
        <f>IF(AC136&lt;=0,"",RANK(AC136,$AC$2:$AC$501,0)+COUNTIFS($AC$2:AC136,AC136)-1)</f>
        <v/>
      </c>
    </row>
    <row r="137">
      <c r="AA137">
        <f>IFERROR(INDEX(DailyRouteRecordTable[Route],ROW()-1),"")</f>
        <v/>
      </c>
      <c r="AB137">
        <f>IF(AA137="","",IF(COUNTIF($AA$2:AA137,AA137)&gt;1,0,SUMPRODUCT((DailyRouteRecordTable[Route]=AA137)*(IF($B$6="All",1,IFERROR(--MID(DailyRouteRecordTable[Departure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7">
        <f>IF(AA137="","",IF(COUNTIF($AA$2:AA137,AA137)&gt;1,0,SUMPRODUCT((DailyRouteRecordTable[Route]=AA137)*(IF($B$6="All",1,IFERROR(--MID(DailyRouteRecordTable[Departure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7">
        <f>IF(AB137&lt;=0,"",RANK(AB137,$AB$2:$AB$501,0)+COUNTIFS($AB$2:AB137,AB137)-1)</f>
        <v/>
      </c>
      <c r="AE137">
        <f>IF(AC137&lt;=0,"",RANK(AC137,$AC$2:$AC$501,0)+COUNTIFS($AC$2:AC137,AC137)-1)</f>
        <v/>
      </c>
    </row>
    <row r="138">
      <c r="AA138">
        <f>IFERROR(INDEX(DailyRouteRecordTable[Route],ROW()-1),"")</f>
        <v/>
      </c>
      <c r="AB138">
        <f>IF(AA138="","",IF(COUNTIF($AA$2:AA138,AA138)&gt;1,0,SUMPRODUCT((DailyRouteRecordTable[Route]=AA138)*(IF($B$6="All",1,IFERROR(--MID(DailyRouteRecordTable[Departure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8">
        <f>IF(AA138="","",IF(COUNTIF($AA$2:AA138,AA138)&gt;1,0,SUMPRODUCT((DailyRouteRecordTable[Route]=AA138)*(IF($B$6="All",1,IFERROR(--MID(DailyRouteRecordTable[Departure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8">
        <f>IF(AB138&lt;=0,"",RANK(AB138,$AB$2:$AB$501,0)+COUNTIFS($AB$2:AB138,AB138)-1)</f>
        <v/>
      </c>
      <c r="AE138">
        <f>IF(AC138&lt;=0,"",RANK(AC138,$AC$2:$AC$501,0)+COUNTIFS($AC$2:AC138,AC138)-1)</f>
        <v/>
      </c>
    </row>
    <row r="139">
      <c r="AA139">
        <f>IFERROR(INDEX(DailyRouteRecordTable[Route],ROW()-1),"")</f>
        <v/>
      </c>
      <c r="AB139">
        <f>IF(AA139="","",IF(COUNTIF($AA$2:AA139,AA139)&gt;1,0,SUMPRODUCT((DailyRouteRecordTable[Route]=AA139)*(IF($B$6="All",1,IFERROR(--MID(DailyRouteRecordTable[Departure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39">
        <f>IF(AA139="","",IF(COUNTIF($AA$2:AA139,AA139)&gt;1,0,SUMPRODUCT((DailyRouteRecordTable[Route]=AA139)*(IF($B$6="All",1,IFERROR(--MID(DailyRouteRecordTable[Departure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39">
        <f>IF(AB139&lt;=0,"",RANK(AB139,$AB$2:$AB$501,0)+COUNTIFS($AB$2:AB139,AB139)-1)</f>
        <v/>
      </c>
      <c r="AE139">
        <f>IF(AC139&lt;=0,"",RANK(AC139,$AC$2:$AC$501,0)+COUNTIFS($AC$2:AC139,AC139)-1)</f>
        <v/>
      </c>
    </row>
    <row r="140">
      <c r="AA140">
        <f>IFERROR(INDEX(DailyRouteRecordTable[Route],ROW()-1),"")</f>
        <v/>
      </c>
      <c r="AB140">
        <f>IF(AA140="","",IF(COUNTIF($AA$2:AA140,AA140)&gt;1,0,SUMPRODUCT((DailyRouteRecordTable[Route]=AA140)*(IF($B$6="All",1,IFERROR(--MID(DailyRouteRecordTable[Departure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0">
        <f>IF(AA140="","",IF(COUNTIF($AA$2:AA140,AA140)&gt;1,0,SUMPRODUCT((DailyRouteRecordTable[Route]=AA140)*(IF($B$6="All",1,IFERROR(--MID(DailyRouteRecordTable[Departure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0">
        <f>IF(AB140&lt;=0,"",RANK(AB140,$AB$2:$AB$501,0)+COUNTIFS($AB$2:AB140,AB140)-1)</f>
        <v/>
      </c>
      <c r="AE140">
        <f>IF(AC140&lt;=0,"",RANK(AC140,$AC$2:$AC$501,0)+COUNTIFS($AC$2:AC140,AC140)-1)</f>
        <v/>
      </c>
    </row>
    <row r="141">
      <c r="AA141">
        <f>IFERROR(INDEX(DailyRouteRecordTable[Route],ROW()-1),"")</f>
        <v/>
      </c>
      <c r="AB141">
        <f>IF(AA141="","",IF(COUNTIF($AA$2:AA141,AA141)&gt;1,0,SUMPRODUCT((DailyRouteRecordTable[Route]=AA141)*(IF($B$6="All",1,IFERROR(--MID(DailyRouteRecordTable[Departure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1">
        <f>IF(AA141="","",IF(COUNTIF($AA$2:AA141,AA141)&gt;1,0,SUMPRODUCT((DailyRouteRecordTable[Route]=AA141)*(IF($B$6="All",1,IFERROR(--MID(DailyRouteRecordTable[Departure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1">
        <f>IF(AB141&lt;=0,"",RANK(AB141,$AB$2:$AB$501,0)+COUNTIFS($AB$2:AB141,AB141)-1)</f>
        <v/>
      </c>
      <c r="AE141">
        <f>IF(AC141&lt;=0,"",RANK(AC141,$AC$2:$AC$501,0)+COUNTIFS($AC$2:AC141,AC141)-1)</f>
        <v/>
      </c>
    </row>
    <row r="142">
      <c r="AA142">
        <f>IFERROR(INDEX(DailyRouteRecordTable[Route],ROW()-1),"")</f>
        <v/>
      </c>
      <c r="AB142">
        <f>IF(AA142="","",IF(COUNTIF($AA$2:AA142,AA142)&gt;1,0,SUMPRODUCT((DailyRouteRecordTable[Route]=AA142)*(IF($B$6="All",1,IFERROR(--MID(DailyRouteRecordTable[Departure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2">
        <f>IF(AA142="","",IF(COUNTIF($AA$2:AA142,AA142)&gt;1,0,SUMPRODUCT((DailyRouteRecordTable[Route]=AA142)*(IF($B$6="All",1,IFERROR(--MID(DailyRouteRecordTable[Departure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2">
        <f>IF(AB142&lt;=0,"",RANK(AB142,$AB$2:$AB$501,0)+COUNTIFS($AB$2:AB142,AB142)-1)</f>
        <v/>
      </c>
      <c r="AE142">
        <f>IF(AC142&lt;=0,"",RANK(AC142,$AC$2:$AC$501,0)+COUNTIFS($AC$2:AC142,AC142)-1)</f>
        <v/>
      </c>
    </row>
    <row r="143">
      <c r="AA143">
        <f>IFERROR(INDEX(DailyRouteRecordTable[Route],ROW()-1),"")</f>
        <v/>
      </c>
      <c r="AB143">
        <f>IF(AA143="","",IF(COUNTIF($AA$2:AA143,AA143)&gt;1,0,SUMPRODUCT((DailyRouteRecordTable[Route]=AA143)*(IF($B$6="All",1,IFERROR(--MID(DailyRouteRecordTable[Departure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3">
        <f>IF(AA143="","",IF(COUNTIF($AA$2:AA143,AA143)&gt;1,0,SUMPRODUCT((DailyRouteRecordTable[Route]=AA143)*(IF($B$6="All",1,IFERROR(--MID(DailyRouteRecordTable[Departure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3">
        <f>IF(AB143&lt;=0,"",RANK(AB143,$AB$2:$AB$501,0)+COUNTIFS($AB$2:AB143,AB143)-1)</f>
        <v/>
      </c>
      <c r="AE143">
        <f>IF(AC143&lt;=0,"",RANK(AC143,$AC$2:$AC$501,0)+COUNTIFS($AC$2:AC143,AC143)-1)</f>
        <v/>
      </c>
    </row>
    <row r="144">
      <c r="AA144">
        <f>IFERROR(INDEX(DailyRouteRecordTable[Route],ROW()-1),"")</f>
        <v/>
      </c>
      <c r="AB144">
        <f>IF(AA144="","",IF(COUNTIF($AA$2:AA144,AA144)&gt;1,0,SUMPRODUCT((DailyRouteRecordTable[Route]=AA144)*(IF($B$6="All",1,IFERROR(--MID(DailyRouteRecordTable[Departure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4">
        <f>IF(AA144="","",IF(COUNTIF($AA$2:AA144,AA144)&gt;1,0,SUMPRODUCT((DailyRouteRecordTable[Route]=AA144)*(IF($B$6="All",1,IFERROR(--MID(DailyRouteRecordTable[Departure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4">
        <f>IF(AB144&lt;=0,"",RANK(AB144,$AB$2:$AB$501,0)+COUNTIFS($AB$2:AB144,AB144)-1)</f>
        <v/>
      </c>
      <c r="AE144">
        <f>IF(AC144&lt;=0,"",RANK(AC144,$AC$2:$AC$501,0)+COUNTIFS($AC$2:AC144,AC144)-1)</f>
        <v/>
      </c>
    </row>
    <row r="145">
      <c r="AA145">
        <f>IFERROR(INDEX(DailyRouteRecordTable[Route],ROW()-1),"")</f>
        <v/>
      </c>
      <c r="AB145">
        <f>IF(AA145="","",IF(COUNTIF($AA$2:AA145,AA145)&gt;1,0,SUMPRODUCT((DailyRouteRecordTable[Route]=AA145)*(IF($B$6="All",1,IFERROR(--MID(DailyRouteRecordTable[Departure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5">
        <f>IF(AA145="","",IF(COUNTIF($AA$2:AA145,AA145)&gt;1,0,SUMPRODUCT((DailyRouteRecordTable[Route]=AA145)*(IF($B$6="All",1,IFERROR(--MID(DailyRouteRecordTable[Departure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5">
        <f>IF(AB145&lt;=0,"",RANK(AB145,$AB$2:$AB$501,0)+COUNTIFS($AB$2:AB145,AB145)-1)</f>
        <v/>
      </c>
      <c r="AE145">
        <f>IF(AC145&lt;=0,"",RANK(AC145,$AC$2:$AC$501,0)+COUNTIFS($AC$2:AC145,AC145)-1)</f>
        <v/>
      </c>
    </row>
    <row r="146">
      <c r="AA146">
        <f>IFERROR(INDEX(DailyRouteRecordTable[Route],ROW()-1),"")</f>
        <v/>
      </c>
      <c r="AB146">
        <f>IF(AA146="","",IF(COUNTIF($AA$2:AA146,AA146)&gt;1,0,SUMPRODUCT((DailyRouteRecordTable[Route]=AA146)*(IF($B$6="All",1,IFERROR(--MID(DailyRouteRecordTable[Departure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6">
        <f>IF(AA146="","",IF(COUNTIF($AA$2:AA146,AA146)&gt;1,0,SUMPRODUCT((DailyRouteRecordTable[Route]=AA146)*(IF($B$6="All",1,IFERROR(--MID(DailyRouteRecordTable[Departure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6">
        <f>IF(AB146&lt;=0,"",RANK(AB146,$AB$2:$AB$501,0)+COUNTIFS($AB$2:AB146,AB146)-1)</f>
        <v/>
      </c>
      <c r="AE146">
        <f>IF(AC146&lt;=0,"",RANK(AC146,$AC$2:$AC$501,0)+COUNTIFS($AC$2:AC146,AC146)-1)</f>
        <v/>
      </c>
    </row>
    <row r="147">
      <c r="AA147">
        <f>IFERROR(INDEX(DailyRouteRecordTable[Route],ROW()-1),"")</f>
        <v/>
      </c>
      <c r="AB147">
        <f>IF(AA147="","",IF(COUNTIF($AA$2:AA147,AA147)&gt;1,0,SUMPRODUCT((DailyRouteRecordTable[Route]=AA147)*(IF($B$6="All",1,IFERROR(--MID(DailyRouteRecordTable[Departure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7">
        <f>IF(AA147="","",IF(COUNTIF($AA$2:AA147,AA147)&gt;1,0,SUMPRODUCT((DailyRouteRecordTable[Route]=AA147)*(IF($B$6="All",1,IFERROR(--MID(DailyRouteRecordTable[Departure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7">
        <f>IF(AB147&lt;=0,"",RANK(AB147,$AB$2:$AB$501,0)+COUNTIFS($AB$2:AB147,AB147)-1)</f>
        <v/>
      </c>
      <c r="AE147">
        <f>IF(AC147&lt;=0,"",RANK(AC147,$AC$2:$AC$501,0)+COUNTIFS($AC$2:AC147,AC147)-1)</f>
        <v/>
      </c>
    </row>
    <row r="148">
      <c r="AA148">
        <f>IFERROR(INDEX(DailyRouteRecordTable[Route],ROW()-1),"")</f>
        <v/>
      </c>
      <c r="AB148">
        <f>IF(AA148="","",IF(COUNTIF($AA$2:AA148,AA148)&gt;1,0,SUMPRODUCT((DailyRouteRecordTable[Route]=AA148)*(IF($B$6="All",1,IFERROR(--MID(DailyRouteRecordTable[Departure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8">
        <f>IF(AA148="","",IF(COUNTIF($AA$2:AA148,AA148)&gt;1,0,SUMPRODUCT((DailyRouteRecordTable[Route]=AA148)*(IF($B$6="All",1,IFERROR(--MID(DailyRouteRecordTable[Departure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8">
        <f>IF(AB148&lt;=0,"",RANK(AB148,$AB$2:$AB$501,0)+COUNTIFS($AB$2:AB148,AB148)-1)</f>
        <v/>
      </c>
      <c r="AE148">
        <f>IF(AC148&lt;=0,"",RANK(AC148,$AC$2:$AC$501,0)+COUNTIFS($AC$2:AC148,AC148)-1)</f>
        <v/>
      </c>
    </row>
    <row r="149">
      <c r="AA149">
        <f>IFERROR(INDEX(DailyRouteRecordTable[Route],ROW()-1),"")</f>
        <v/>
      </c>
      <c r="AB149">
        <f>IF(AA149="","",IF(COUNTIF($AA$2:AA149,AA149)&gt;1,0,SUMPRODUCT((DailyRouteRecordTable[Route]=AA149)*(IF($B$6="All",1,IFERROR(--MID(DailyRouteRecordTable[Departure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49">
        <f>IF(AA149="","",IF(COUNTIF($AA$2:AA149,AA149)&gt;1,0,SUMPRODUCT((DailyRouteRecordTable[Route]=AA149)*(IF($B$6="All",1,IFERROR(--MID(DailyRouteRecordTable[Departure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49">
        <f>IF(AB149&lt;=0,"",RANK(AB149,$AB$2:$AB$501,0)+COUNTIFS($AB$2:AB149,AB149)-1)</f>
        <v/>
      </c>
      <c r="AE149">
        <f>IF(AC149&lt;=0,"",RANK(AC149,$AC$2:$AC$501,0)+COUNTIFS($AC$2:AC149,AC149)-1)</f>
        <v/>
      </c>
    </row>
    <row r="150">
      <c r="AA150">
        <f>IFERROR(INDEX(DailyRouteRecordTable[Route],ROW()-1),"")</f>
        <v/>
      </c>
      <c r="AB150">
        <f>IF(AA150="","",IF(COUNTIF($AA$2:AA150,AA150)&gt;1,0,SUMPRODUCT((DailyRouteRecordTable[Route]=AA150)*(IF($B$6="All",1,IFERROR(--MID(DailyRouteRecordTable[Departure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0">
        <f>IF(AA150="","",IF(COUNTIF($AA$2:AA150,AA150)&gt;1,0,SUMPRODUCT((DailyRouteRecordTable[Route]=AA150)*(IF($B$6="All",1,IFERROR(--MID(DailyRouteRecordTable[Departure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0">
        <f>IF(AB150&lt;=0,"",RANK(AB150,$AB$2:$AB$501,0)+COUNTIFS($AB$2:AB150,AB150)-1)</f>
        <v/>
      </c>
      <c r="AE150">
        <f>IF(AC150&lt;=0,"",RANK(AC150,$AC$2:$AC$501,0)+COUNTIFS($AC$2:AC150,AC150)-1)</f>
        <v/>
      </c>
    </row>
    <row r="151">
      <c r="AA151">
        <f>IFERROR(INDEX(DailyRouteRecordTable[Route],ROW()-1),"")</f>
        <v/>
      </c>
      <c r="AB151">
        <f>IF(AA151="","",IF(COUNTIF($AA$2:AA151,AA151)&gt;1,0,SUMPRODUCT((DailyRouteRecordTable[Route]=AA151)*(IF($B$6="All",1,IFERROR(--MID(DailyRouteRecordTable[Departure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1">
        <f>IF(AA151="","",IF(COUNTIF($AA$2:AA151,AA151)&gt;1,0,SUMPRODUCT((DailyRouteRecordTable[Route]=AA151)*(IF($B$6="All",1,IFERROR(--MID(DailyRouteRecordTable[Departure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1">
        <f>IF(AB151&lt;=0,"",RANK(AB151,$AB$2:$AB$501,0)+COUNTIFS($AB$2:AB151,AB151)-1)</f>
        <v/>
      </c>
      <c r="AE151">
        <f>IF(AC151&lt;=0,"",RANK(AC151,$AC$2:$AC$501,0)+COUNTIFS($AC$2:AC151,AC151)-1)</f>
        <v/>
      </c>
    </row>
    <row r="152">
      <c r="AA152">
        <f>IFERROR(INDEX(DailyRouteRecordTable[Route],ROW()-1),"")</f>
        <v/>
      </c>
      <c r="AB152">
        <f>IF(AA152="","",IF(COUNTIF($AA$2:AA152,AA152)&gt;1,0,SUMPRODUCT((DailyRouteRecordTable[Route]=AA152)*(IF($B$6="All",1,IFERROR(--MID(DailyRouteRecordTable[Departure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2">
        <f>IF(AA152="","",IF(COUNTIF($AA$2:AA152,AA152)&gt;1,0,SUMPRODUCT((DailyRouteRecordTable[Route]=AA152)*(IF($B$6="All",1,IFERROR(--MID(DailyRouteRecordTable[Departure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2">
        <f>IF(AB152&lt;=0,"",RANK(AB152,$AB$2:$AB$501,0)+COUNTIFS($AB$2:AB152,AB152)-1)</f>
        <v/>
      </c>
      <c r="AE152">
        <f>IF(AC152&lt;=0,"",RANK(AC152,$AC$2:$AC$501,0)+COUNTIFS($AC$2:AC152,AC152)-1)</f>
        <v/>
      </c>
    </row>
    <row r="153">
      <c r="AA153">
        <f>IFERROR(INDEX(DailyRouteRecordTable[Route],ROW()-1),"")</f>
        <v/>
      </c>
      <c r="AB153">
        <f>IF(AA153="","",IF(COUNTIF($AA$2:AA153,AA153)&gt;1,0,SUMPRODUCT((DailyRouteRecordTable[Route]=AA153)*(IF($B$6="All",1,IFERROR(--MID(DailyRouteRecordTable[Departure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3">
        <f>IF(AA153="","",IF(COUNTIF($AA$2:AA153,AA153)&gt;1,0,SUMPRODUCT((DailyRouteRecordTable[Route]=AA153)*(IF($B$6="All",1,IFERROR(--MID(DailyRouteRecordTable[Departure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3">
        <f>IF(AB153&lt;=0,"",RANK(AB153,$AB$2:$AB$501,0)+COUNTIFS($AB$2:AB153,AB153)-1)</f>
        <v/>
      </c>
      <c r="AE153">
        <f>IF(AC153&lt;=0,"",RANK(AC153,$AC$2:$AC$501,0)+COUNTIFS($AC$2:AC153,AC153)-1)</f>
        <v/>
      </c>
    </row>
    <row r="154">
      <c r="AA154">
        <f>IFERROR(INDEX(DailyRouteRecordTable[Route],ROW()-1),"")</f>
        <v/>
      </c>
      <c r="AB154">
        <f>IF(AA154="","",IF(COUNTIF($AA$2:AA154,AA154)&gt;1,0,SUMPRODUCT((DailyRouteRecordTable[Route]=AA154)*(IF($B$6="All",1,IFERROR(--MID(DailyRouteRecordTable[Departure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4">
        <f>IF(AA154="","",IF(COUNTIF($AA$2:AA154,AA154)&gt;1,0,SUMPRODUCT((DailyRouteRecordTable[Route]=AA154)*(IF($B$6="All",1,IFERROR(--MID(DailyRouteRecordTable[Departure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4">
        <f>IF(AB154&lt;=0,"",RANK(AB154,$AB$2:$AB$501,0)+COUNTIFS($AB$2:AB154,AB154)-1)</f>
        <v/>
      </c>
      <c r="AE154">
        <f>IF(AC154&lt;=0,"",RANK(AC154,$AC$2:$AC$501,0)+COUNTIFS($AC$2:AC154,AC154)-1)</f>
        <v/>
      </c>
    </row>
    <row r="155">
      <c r="AA155">
        <f>IFERROR(INDEX(DailyRouteRecordTable[Route],ROW()-1),"")</f>
        <v/>
      </c>
      <c r="AB155">
        <f>IF(AA155="","",IF(COUNTIF($AA$2:AA155,AA155)&gt;1,0,SUMPRODUCT((DailyRouteRecordTable[Route]=AA155)*(IF($B$6="All",1,IFERROR(--MID(DailyRouteRecordTable[Departure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5">
        <f>IF(AA155="","",IF(COUNTIF($AA$2:AA155,AA155)&gt;1,0,SUMPRODUCT((DailyRouteRecordTable[Route]=AA155)*(IF($B$6="All",1,IFERROR(--MID(DailyRouteRecordTable[Departure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5">
        <f>IF(AB155&lt;=0,"",RANK(AB155,$AB$2:$AB$501,0)+COUNTIFS($AB$2:AB155,AB155)-1)</f>
        <v/>
      </c>
      <c r="AE155">
        <f>IF(AC155&lt;=0,"",RANK(AC155,$AC$2:$AC$501,0)+COUNTIFS($AC$2:AC155,AC155)-1)</f>
        <v/>
      </c>
    </row>
    <row r="156">
      <c r="AA156">
        <f>IFERROR(INDEX(DailyRouteRecordTable[Route],ROW()-1),"")</f>
        <v/>
      </c>
      <c r="AB156">
        <f>IF(AA156="","",IF(COUNTIF($AA$2:AA156,AA156)&gt;1,0,SUMPRODUCT((DailyRouteRecordTable[Route]=AA156)*(IF($B$6="All",1,IFERROR(--MID(DailyRouteRecordTable[Departure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6">
        <f>IF(AA156="","",IF(COUNTIF($AA$2:AA156,AA156)&gt;1,0,SUMPRODUCT((DailyRouteRecordTable[Route]=AA156)*(IF($B$6="All",1,IFERROR(--MID(DailyRouteRecordTable[Departure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6">
        <f>IF(AB156&lt;=0,"",RANK(AB156,$AB$2:$AB$501,0)+COUNTIFS($AB$2:AB156,AB156)-1)</f>
        <v/>
      </c>
      <c r="AE156">
        <f>IF(AC156&lt;=0,"",RANK(AC156,$AC$2:$AC$501,0)+COUNTIFS($AC$2:AC156,AC156)-1)</f>
        <v/>
      </c>
    </row>
    <row r="157">
      <c r="AA157">
        <f>IFERROR(INDEX(DailyRouteRecordTable[Route],ROW()-1),"")</f>
        <v/>
      </c>
      <c r="AB157">
        <f>IF(AA157="","",IF(COUNTIF($AA$2:AA157,AA157)&gt;1,0,SUMPRODUCT((DailyRouteRecordTable[Route]=AA157)*(IF($B$6="All",1,IFERROR(--MID(DailyRouteRecordTable[Departure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7">
        <f>IF(AA157="","",IF(COUNTIF($AA$2:AA157,AA157)&gt;1,0,SUMPRODUCT((DailyRouteRecordTable[Route]=AA157)*(IF($B$6="All",1,IFERROR(--MID(DailyRouteRecordTable[Departure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7">
        <f>IF(AB157&lt;=0,"",RANK(AB157,$AB$2:$AB$501,0)+COUNTIFS($AB$2:AB157,AB157)-1)</f>
        <v/>
      </c>
      <c r="AE157">
        <f>IF(AC157&lt;=0,"",RANK(AC157,$AC$2:$AC$501,0)+COUNTIFS($AC$2:AC157,AC157)-1)</f>
        <v/>
      </c>
    </row>
    <row r="158">
      <c r="AA158">
        <f>IFERROR(INDEX(DailyRouteRecordTable[Route],ROW()-1),"")</f>
        <v/>
      </c>
      <c r="AB158">
        <f>IF(AA158="","",IF(COUNTIF($AA$2:AA158,AA158)&gt;1,0,SUMPRODUCT((DailyRouteRecordTable[Route]=AA158)*(IF($B$6="All",1,IFERROR(--MID(DailyRouteRecordTable[Departure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8">
        <f>IF(AA158="","",IF(COUNTIF($AA$2:AA158,AA158)&gt;1,0,SUMPRODUCT((DailyRouteRecordTable[Route]=AA158)*(IF($B$6="All",1,IFERROR(--MID(DailyRouteRecordTable[Departure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8">
        <f>IF(AB158&lt;=0,"",RANK(AB158,$AB$2:$AB$501,0)+COUNTIFS($AB$2:AB158,AB158)-1)</f>
        <v/>
      </c>
      <c r="AE158">
        <f>IF(AC158&lt;=0,"",RANK(AC158,$AC$2:$AC$501,0)+COUNTIFS($AC$2:AC158,AC158)-1)</f>
        <v/>
      </c>
    </row>
    <row r="159">
      <c r="AA159">
        <f>IFERROR(INDEX(DailyRouteRecordTable[Route],ROW()-1),"")</f>
        <v/>
      </c>
      <c r="AB159">
        <f>IF(AA159="","",IF(COUNTIF($AA$2:AA159,AA159)&gt;1,0,SUMPRODUCT((DailyRouteRecordTable[Route]=AA159)*(IF($B$6="All",1,IFERROR(--MID(DailyRouteRecordTable[Departure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59">
        <f>IF(AA159="","",IF(COUNTIF($AA$2:AA159,AA159)&gt;1,0,SUMPRODUCT((DailyRouteRecordTable[Route]=AA159)*(IF($B$6="All",1,IFERROR(--MID(DailyRouteRecordTable[Departure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59">
        <f>IF(AB159&lt;=0,"",RANK(AB159,$AB$2:$AB$501,0)+COUNTIFS($AB$2:AB159,AB159)-1)</f>
        <v/>
      </c>
      <c r="AE159">
        <f>IF(AC159&lt;=0,"",RANK(AC159,$AC$2:$AC$501,0)+COUNTIFS($AC$2:AC159,AC159)-1)</f>
        <v/>
      </c>
    </row>
    <row r="160">
      <c r="AA160">
        <f>IFERROR(INDEX(DailyRouteRecordTable[Route],ROW()-1),"")</f>
        <v/>
      </c>
      <c r="AB160">
        <f>IF(AA160="","",IF(COUNTIF($AA$2:AA160,AA160)&gt;1,0,SUMPRODUCT((DailyRouteRecordTable[Route]=AA160)*(IF($B$6="All",1,IFERROR(--MID(DailyRouteRecordTable[Departure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0">
        <f>IF(AA160="","",IF(COUNTIF($AA$2:AA160,AA160)&gt;1,0,SUMPRODUCT((DailyRouteRecordTable[Route]=AA160)*(IF($B$6="All",1,IFERROR(--MID(DailyRouteRecordTable[Departure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0">
        <f>IF(AB160&lt;=0,"",RANK(AB160,$AB$2:$AB$501,0)+COUNTIFS($AB$2:AB160,AB160)-1)</f>
        <v/>
      </c>
      <c r="AE160">
        <f>IF(AC160&lt;=0,"",RANK(AC160,$AC$2:$AC$501,0)+COUNTIFS($AC$2:AC160,AC160)-1)</f>
        <v/>
      </c>
    </row>
    <row r="161">
      <c r="AA161">
        <f>IFERROR(INDEX(DailyRouteRecordTable[Route],ROW()-1),"")</f>
        <v/>
      </c>
      <c r="AB161">
        <f>IF(AA161="","",IF(COUNTIF($AA$2:AA161,AA161)&gt;1,0,SUMPRODUCT((DailyRouteRecordTable[Route]=AA161)*(IF($B$6="All",1,IFERROR(--MID(DailyRouteRecordTable[Departure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1">
        <f>IF(AA161="","",IF(COUNTIF($AA$2:AA161,AA161)&gt;1,0,SUMPRODUCT((DailyRouteRecordTable[Route]=AA161)*(IF($B$6="All",1,IFERROR(--MID(DailyRouteRecordTable[Departure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1">
        <f>IF(AB161&lt;=0,"",RANK(AB161,$AB$2:$AB$501,0)+COUNTIFS($AB$2:AB161,AB161)-1)</f>
        <v/>
      </c>
      <c r="AE161">
        <f>IF(AC161&lt;=0,"",RANK(AC161,$AC$2:$AC$501,0)+COUNTIFS($AC$2:AC161,AC161)-1)</f>
        <v/>
      </c>
    </row>
    <row r="162">
      <c r="AA162">
        <f>IFERROR(INDEX(DailyRouteRecordTable[Route],ROW()-1),"")</f>
        <v/>
      </c>
      <c r="AB162">
        <f>IF(AA162="","",IF(COUNTIF($AA$2:AA162,AA162)&gt;1,0,SUMPRODUCT((DailyRouteRecordTable[Route]=AA162)*(IF($B$6="All",1,IFERROR(--MID(DailyRouteRecordTable[Departure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2">
        <f>IF(AA162="","",IF(COUNTIF($AA$2:AA162,AA162)&gt;1,0,SUMPRODUCT((DailyRouteRecordTable[Route]=AA162)*(IF($B$6="All",1,IFERROR(--MID(DailyRouteRecordTable[Departure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2">
        <f>IF(AB162&lt;=0,"",RANK(AB162,$AB$2:$AB$501,0)+COUNTIFS($AB$2:AB162,AB162)-1)</f>
        <v/>
      </c>
      <c r="AE162">
        <f>IF(AC162&lt;=0,"",RANK(AC162,$AC$2:$AC$501,0)+COUNTIFS($AC$2:AC162,AC162)-1)</f>
        <v/>
      </c>
    </row>
    <row r="163">
      <c r="AA163">
        <f>IFERROR(INDEX(DailyRouteRecordTable[Route],ROW()-1),"")</f>
        <v/>
      </c>
      <c r="AB163">
        <f>IF(AA163="","",IF(COUNTIF($AA$2:AA163,AA163)&gt;1,0,SUMPRODUCT((DailyRouteRecordTable[Route]=AA163)*(IF($B$6="All",1,IFERROR(--MID(DailyRouteRecordTable[Departure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3">
        <f>IF(AA163="","",IF(COUNTIF($AA$2:AA163,AA163)&gt;1,0,SUMPRODUCT((DailyRouteRecordTable[Route]=AA163)*(IF($B$6="All",1,IFERROR(--MID(DailyRouteRecordTable[Departure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3">
        <f>IF(AB163&lt;=0,"",RANK(AB163,$AB$2:$AB$501,0)+COUNTIFS($AB$2:AB163,AB163)-1)</f>
        <v/>
      </c>
      <c r="AE163">
        <f>IF(AC163&lt;=0,"",RANK(AC163,$AC$2:$AC$501,0)+COUNTIFS($AC$2:AC163,AC163)-1)</f>
        <v/>
      </c>
    </row>
    <row r="164">
      <c r="AA164">
        <f>IFERROR(INDEX(DailyRouteRecordTable[Route],ROW()-1),"")</f>
        <v/>
      </c>
      <c r="AB164">
        <f>IF(AA164="","",IF(COUNTIF($AA$2:AA164,AA164)&gt;1,0,SUMPRODUCT((DailyRouteRecordTable[Route]=AA164)*(IF($B$6="All",1,IFERROR(--MID(DailyRouteRecordTable[Departure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4">
        <f>IF(AA164="","",IF(COUNTIF($AA$2:AA164,AA164)&gt;1,0,SUMPRODUCT((DailyRouteRecordTable[Route]=AA164)*(IF($B$6="All",1,IFERROR(--MID(DailyRouteRecordTable[Departure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4">
        <f>IF(AB164&lt;=0,"",RANK(AB164,$AB$2:$AB$501,0)+COUNTIFS($AB$2:AB164,AB164)-1)</f>
        <v/>
      </c>
      <c r="AE164">
        <f>IF(AC164&lt;=0,"",RANK(AC164,$AC$2:$AC$501,0)+COUNTIFS($AC$2:AC164,AC164)-1)</f>
        <v/>
      </c>
    </row>
    <row r="165">
      <c r="AA165">
        <f>IFERROR(INDEX(DailyRouteRecordTable[Route],ROW()-1),"")</f>
        <v/>
      </c>
      <c r="AB165">
        <f>IF(AA165="","",IF(COUNTIF($AA$2:AA165,AA165)&gt;1,0,SUMPRODUCT((DailyRouteRecordTable[Route]=AA165)*(IF($B$6="All",1,IFERROR(--MID(DailyRouteRecordTable[Departure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5">
        <f>IF(AA165="","",IF(COUNTIF($AA$2:AA165,AA165)&gt;1,0,SUMPRODUCT((DailyRouteRecordTable[Route]=AA165)*(IF($B$6="All",1,IFERROR(--MID(DailyRouteRecordTable[Departure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5">
        <f>IF(AB165&lt;=0,"",RANK(AB165,$AB$2:$AB$501,0)+COUNTIFS($AB$2:AB165,AB165)-1)</f>
        <v/>
      </c>
      <c r="AE165">
        <f>IF(AC165&lt;=0,"",RANK(AC165,$AC$2:$AC$501,0)+COUNTIFS($AC$2:AC165,AC165)-1)</f>
        <v/>
      </c>
    </row>
    <row r="166">
      <c r="AA166">
        <f>IFERROR(INDEX(DailyRouteRecordTable[Route],ROW()-1),"")</f>
        <v/>
      </c>
      <c r="AB166">
        <f>IF(AA166="","",IF(COUNTIF($AA$2:AA166,AA166)&gt;1,0,SUMPRODUCT((DailyRouteRecordTable[Route]=AA166)*(IF($B$6="All",1,IFERROR(--MID(DailyRouteRecordTable[Departure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6">
        <f>IF(AA166="","",IF(COUNTIF($AA$2:AA166,AA166)&gt;1,0,SUMPRODUCT((DailyRouteRecordTable[Route]=AA166)*(IF($B$6="All",1,IFERROR(--MID(DailyRouteRecordTable[Departure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6">
        <f>IF(AB166&lt;=0,"",RANK(AB166,$AB$2:$AB$501,0)+COUNTIFS($AB$2:AB166,AB166)-1)</f>
        <v/>
      </c>
      <c r="AE166">
        <f>IF(AC166&lt;=0,"",RANK(AC166,$AC$2:$AC$501,0)+COUNTIFS($AC$2:AC166,AC166)-1)</f>
        <v/>
      </c>
    </row>
    <row r="167">
      <c r="AA167">
        <f>IFERROR(INDEX(DailyRouteRecordTable[Route],ROW()-1),"")</f>
        <v/>
      </c>
      <c r="AB167">
        <f>IF(AA167="","",IF(COUNTIF($AA$2:AA167,AA167)&gt;1,0,SUMPRODUCT((DailyRouteRecordTable[Route]=AA167)*(IF($B$6="All",1,IFERROR(--MID(DailyRouteRecordTable[Departure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7">
        <f>IF(AA167="","",IF(COUNTIF($AA$2:AA167,AA167)&gt;1,0,SUMPRODUCT((DailyRouteRecordTable[Route]=AA167)*(IF($B$6="All",1,IFERROR(--MID(DailyRouteRecordTable[Departure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7">
        <f>IF(AB167&lt;=0,"",RANK(AB167,$AB$2:$AB$501,0)+COUNTIFS($AB$2:AB167,AB167)-1)</f>
        <v/>
      </c>
      <c r="AE167">
        <f>IF(AC167&lt;=0,"",RANK(AC167,$AC$2:$AC$501,0)+COUNTIFS($AC$2:AC167,AC167)-1)</f>
        <v/>
      </c>
    </row>
    <row r="168">
      <c r="AA168">
        <f>IFERROR(INDEX(DailyRouteRecordTable[Route],ROW()-1),"")</f>
        <v/>
      </c>
      <c r="AB168">
        <f>IF(AA168="","",IF(COUNTIF($AA$2:AA168,AA168)&gt;1,0,SUMPRODUCT((DailyRouteRecordTable[Route]=AA168)*(IF($B$6="All",1,IFERROR(--MID(DailyRouteRecordTable[Departure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8">
        <f>IF(AA168="","",IF(COUNTIF($AA$2:AA168,AA168)&gt;1,0,SUMPRODUCT((DailyRouteRecordTable[Route]=AA168)*(IF($B$6="All",1,IFERROR(--MID(DailyRouteRecordTable[Departure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8">
        <f>IF(AB168&lt;=0,"",RANK(AB168,$AB$2:$AB$501,0)+COUNTIFS($AB$2:AB168,AB168)-1)</f>
        <v/>
      </c>
      <c r="AE168">
        <f>IF(AC168&lt;=0,"",RANK(AC168,$AC$2:$AC$501,0)+COUNTIFS($AC$2:AC168,AC168)-1)</f>
        <v/>
      </c>
    </row>
    <row r="169">
      <c r="AA169">
        <f>IFERROR(INDEX(DailyRouteRecordTable[Route],ROW()-1),"")</f>
        <v/>
      </c>
      <c r="AB169">
        <f>IF(AA169="","",IF(COUNTIF($AA$2:AA169,AA169)&gt;1,0,SUMPRODUCT((DailyRouteRecordTable[Route]=AA169)*(IF($B$6="All",1,IFERROR(--MID(DailyRouteRecordTable[Departure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69">
        <f>IF(AA169="","",IF(COUNTIF($AA$2:AA169,AA169)&gt;1,0,SUMPRODUCT((DailyRouteRecordTable[Route]=AA169)*(IF($B$6="All",1,IFERROR(--MID(DailyRouteRecordTable[Departure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69">
        <f>IF(AB169&lt;=0,"",RANK(AB169,$AB$2:$AB$501,0)+COUNTIFS($AB$2:AB169,AB169)-1)</f>
        <v/>
      </c>
      <c r="AE169">
        <f>IF(AC169&lt;=0,"",RANK(AC169,$AC$2:$AC$501,0)+COUNTIFS($AC$2:AC169,AC169)-1)</f>
        <v/>
      </c>
    </row>
    <row r="170">
      <c r="AA170">
        <f>IFERROR(INDEX(DailyRouteRecordTable[Route],ROW()-1),"")</f>
        <v/>
      </c>
      <c r="AB170">
        <f>IF(AA170="","",IF(COUNTIF($AA$2:AA170,AA170)&gt;1,0,SUMPRODUCT((DailyRouteRecordTable[Route]=AA170)*(IF($B$6="All",1,IFERROR(--MID(DailyRouteRecordTable[Departure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0">
        <f>IF(AA170="","",IF(COUNTIF($AA$2:AA170,AA170)&gt;1,0,SUMPRODUCT((DailyRouteRecordTable[Route]=AA170)*(IF($B$6="All",1,IFERROR(--MID(DailyRouteRecordTable[Departure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0">
        <f>IF(AB170&lt;=0,"",RANK(AB170,$AB$2:$AB$501,0)+COUNTIFS($AB$2:AB170,AB170)-1)</f>
        <v/>
      </c>
      <c r="AE170">
        <f>IF(AC170&lt;=0,"",RANK(AC170,$AC$2:$AC$501,0)+COUNTIFS($AC$2:AC170,AC170)-1)</f>
        <v/>
      </c>
    </row>
    <row r="171">
      <c r="AA171">
        <f>IFERROR(INDEX(DailyRouteRecordTable[Route],ROW()-1),"")</f>
        <v/>
      </c>
      <c r="AB171">
        <f>IF(AA171="","",IF(COUNTIF($AA$2:AA171,AA171)&gt;1,0,SUMPRODUCT((DailyRouteRecordTable[Route]=AA171)*(IF($B$6="All",1,IFERROR(--MID(DailyRouteRecordTable[Departure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1">
        <f>IF(AA171="","",IF(COUNTIF($AA$2:AA171,AA171)&gt;1,0,SUMPRODUCT((DailyRouteRecordTable[Route]=AA171)*(IF($B$6="All",1,IFERROR(--MID(DailyRouteRecordTable[Departure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1">
        <f>IF(AB171&lt;=0,"",RANK(AB171,$AB$2:$AB$501,0)+COUNTIFS($AB$2:AB171,AB171)-1)</f>
        <v/>
      </c>
      <c r="AE171">
        <f>IF(AC171&lt;=0,"",RANK(AC171,$AC$2:$AC$501,0)+COUNTIFS($AC$2:AC171,AC171)-1)</f>
        <v/>
      </c>
    </row>
    <row r="172">
      <c r="AA172">
        <f>IFERROR(INDEX(DailyRouteRecordTable[Route],ROW()-1),"")</f>
        <v/>
      </c>
      <c r="AB172">
        <f>IF(AA172="","",IF(COUNTIF($AA$2:AA172,AA172)&gt;1,0,SUMPRODUCT((DailyRouteRecordTable[Route]=AA172)*(IF($B$6="All",1,IFERROR(--MID(DailyRouteRecordTable[Departure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2">
        <f>IF(AA172="","",IF(COUNTIF($AA$2:AA172,AA172)&gt;1,0,SUMPRODUCT((DailyRouteRecordTable[Route]=AA172)*(IF($B$6="All",1,IFERROR(--MID(DailyRouteRecordTable[Departure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2">
        <f>IF(AB172&lt;=0,"",RANK(AB172,$AB$2:$AB$501,0)+COUNTIFS($AB$2:AB172,AB172)-1)</f>
        <v/>
      </c>
      <c r="AE172">
        <f>IF(AC172&lt;=0,"",RANK(AC172,$AC$2:$AC$501,0)+COUNTIFS($AC$2:AC172,AC172)-1)</f>
        <v/>
      </c>
    </row>
    <row r="173">
      <c r="AA173">
        <f>IFERROR(INDEX(DailyRouteRecordTable[Route],ROW()-1),"")</f>
        <v/>
      </c>
      <c r="AB173">
        <f>IF(AA173="","",IF(COUNTIF($AA$2:AA173,AA173)&gt;1,0,SUMPRODUCT((DailyRouteRecordTable[Route]=AA173)*(IF($B$6="All",1,IFERROR(--MID(DailyRouteRecordTable[Departure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3">
        <f>IF(AA173="","",IF(COUNTIF($AA$2:AA173,AA173)&gt;1,0,SUMPRODUCT((DailyRouteRecordTable[Route]=AA173)*(IF($B$6="All",1,IFERROR(--MID(DailyRouteRecordTable[Departure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3">
        <f>IF(AB173&lt;=0,"",RANK(AB173,$AB$2:$AB$501,0)+COUNTIFS($AB$2:AB173,AB173)-1)</f>
        <v/>
      </c>
      <c r="AE173">
        <f>IF(AC173&lt;=0,"",RANK(AC173,$AC$2:$AC$501,0)+COUNTIFS($AC$2:AC173,AC173)-1)</f>
        <v/>
      </c>
    </row>
    <row r="174">
      <c r="AA174">
        <f>IFERROR(INDEX(DailyRouteRecordTable[Route],ROW()-1),"")</f>
        <v/>
      </c>
      <c r="AB174">
        <f>IF(AA174="","",IF(COUNTIF($AA$2:AA174,AA174)&gt;1,0,SUMPRODUCT((DailyRouteRecordTable[Route]=AA174)*(IF($B$6="All",1,IFERROR(--MID(DailyRouteRecordTable[Departure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4">
        <f>IF(AA174="","",IF(COUNTIF($AA$2:AA174,AA174)&gt;1,0,SUMPRODUCT((DailyRouteRecordTable[Route]=AA174)*(IF($B$6="All",1,IFERROR(--MID(DailyRouteRecordTable[Departure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4">
        <f>IF(AB174&lt;=0,"",RANK(AB174,$AB$2:$AB$501,0)+COUNTIFS($AB$2:AB174,AB174)-1)</f>
        <v/>
      </c>
      <c r="AE174">
        <f>IF(AC174&lt;=0,"",RANK(AC174,$AC$2:$AC$501,0)+COUNTIFS($AC$2:AC174,AC174)-1)</f>
        <v/>
      </c>
    </row>
    <row r="175">
      <c r="AA175">
        <f>IFERROR(INDEX(DailyRouteRecordTable[Route],ROW()-1),"")</f>
        <v/>
      </c>
      <c r="AB175">
        <f>IF(AA175="","",IF(COUNTIF($AA$2:AA175,AA175)&gt;1,0,SUMPRODUCT((DailyRouteRecordTable[Route]=AA175)*(IF($B$6="All",1,IFERROR(--MID(DailyRouteRecordTable[Departure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5">
        <f>IF(AA175="","",IF(COUNTIF($AA$2:AA175,AA175)&gt;1,0,SUMPRODUCT((DailyRouteRecordTable[Route]=AA175)*(IF($B$6="All",1,IFERROR(--MID(DailyRouteRecordTable[Departure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5">
        <f>IF(AB175&lt;=0,"",RANK(AB175,$AB$2:$AB$501,0)+COUNTIFS($AB$2:AB175,AB175)-1)</f>
        <v/>
      </c>
      <c r="AE175">
        <f>IF(AC175&lt;=0,"",RANK(AC175,$AC$2:$AC$501,0)+COUNTIFS($AC$2:AC175,AC175)-1)</f>
        <v/>
      </c>
    </row>
    <row r="176">
      <c r="AA176">
        <f>IFERROR(INDEX(DailyRouteRecordTable[Route],ROW()-1),"")</f>
        <v/>
      </c>
      <c r="AB176">
        <f>IF(AA176="","",IF(COUNTIF($AA$2:AA176,AA176)&gt;1,0,SUMPRODUCT((DailyRouteRecordTable[Route]=AA176)*(IF($B$6="All",1,IFERROR(--MID(DailyRouteRecordTable[Departure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6">
        <f>IF(AA176="","",IF(COUNTIF($AA$2:AA176,AA176)&gt;1,0,SUMPRODUCT((DailyRouteRecordTable[Route]=AA176)*(IF($B$6="All",1,IFERROR(--MID(DailyRouteRecordTable[Departure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6">
        <f>IF(AB176&lt;=0,"",RANK(AB176,$AB$2:$AB$501,0)+COUNTIFS($AB$2:AB176,AB176)-1)</f>
        <v/>
      </c>
      <c r="AE176">
        <f>IF(AC176&lt;=0,"",RANK(AC176,$AC$2:$AC$501,0)+COUNTIFS($AC$2:AC176,AC176)-1)</f>
        <v/>
      </c>
    </row>
    <row r="177">
      <c r="AA177">
        <f>IFERROR(INDEX(DailyRouteRecordTable[Route],ROW()-1),"")</f>
        <v/>
      </c>
      <c r="AB177">
        <f>IF(AA177="","",IF(COUNTIF($AA$2:AA177,AA177)&gt;1,0,SUMPRODUCT((DailyRouteRecordTable[Route]=AA177)*(IF($B$6="All",1,IFERROR(--MID(DailyRouteRecordTable[Departure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7">
        <f>IF(AA177="","",IF(COUNTIF($AA$2:AA177,AA177)&gt;1,0,SUMPRODUCT((DailyRouteRecordTable[Route]=AA177)*(IF($B$6="All",1,IFERROR(--MID(DailyRouteRecordTable[Departure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7">
        <f>IF(AB177&lt;=0,"",RANK(AB177,$AB$2:$AB$501,0)+COUNTIFS($AB$2:AB177,AB177)-1)</f>
        <v/>
      </c>
      <c r="AE177">
        <f>IF(AC177&lt;=0,"",RANK(AC177,$AC$2:$AC$501,0)+COUNTIFS($AC$2:AC177,AC177)-1)</f>
        <v/>
      </c>
    </row>
    <row r="178">
      <c r="AA178">
        <f>IFERROR(INDEX(DailyRouteRecordTable[Route],ROW()-1),"")</f>
        <v/>
      </c>
      <c r="AB178">
        <f>IF(AA178="","",IF(COUNTIF($AA$2:AA178,AA178)&gt;1,0,SUMPRODUCT((DailyRouteRecordTable[Route]=AA178)*(IF($B$6="All",1,IFERROR(--MID(DailyRouteRecordTable[Departure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8">
        <f>IF(AA178="","",IF(COUNTIF($AA$2:AA178,AA178)&gt;1,0,SUMPRODUCT((DailyRouteRecordTable[Route]=AA178)*(IF($B$6="All",1,IFERROR(--MID(DailyRouteRecordTable[Departure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8">
        <f>IF(AB178&lt;=0,"",RANK(AB178,$AB$2:$AB$501,0)+COUNTIFS($AB$2:AB178,AB178)-1)</f>
        <v/>
      </c>
      <c r="AE178">
        <f>IF(AC178&lt;=0,"",RANK(AC178,$AC$2:$AC$501,0)+COUNTIFS($AC$2:AC178,AC178)-1)</f>
        <v/>
      </c>
    </row>
    <row r="179">
      <c r="AA179">
        <f>IFERROR(INDEX(DailyRouteRecordTable[Route],ROW()-1),"")</f>
        <v/>
      </c>
      <c r="AB179">
        <f>IF(AA179="","",IF(COUNTIF($AA$2:AA179,AA179)&gt;1,0,SUMPRODUCT((DailyRouteRecordTable[Route]=AA179)*(IF($B$6="All",1,IFERROR(--MID(DailyRouteRecordTable[Departure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79">
        <f>IF(AA179="","",IF(COUNTIF($AA$2:AA179,AA179)&gt;1,0,SUMPRODUCT((DailyRouteRecordTable[Route]=AA179)*(IF($B$6="All",1,IFERROR(--MID(DailyRouteRecordTable[Departure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79">
        <f>IF(AB179&lt;=0,"",RANK(AB179,$AB$2:$AB$501,0)+COUNTIFS($AB$2:AB179,AB179)-1)</f>
        <v/>
      </c>
      <c r="AE179">
        <f>IF(AC179&lt;=0,"",RANK(AC179,$AC$2:$AC$501,0)+COUNTIFS($AC$2:AC179,AC179)-1)</f>
        <v/>
      </c>
    </row>
    <row r="180">
      <c r="AA180">
        <f>IFERROR(INDEX(DailyRouteRecordTable[Route],ROW()-1),"")</f>
        <v/>
      </c>
      <c r="AB180">
        <f>IF(AA180="","",IF(COUNTIF($AA$2:AA180,AA180)&gt;1,0,SUMPRODUCT((DailyRouteRecordTable[Route]=AA180)*(IF($B$6="All",1,IFERROR(--MID(DailyRouteRecordTable[Departure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0">
        <f>IF(AA180="","",IF(COUNTIF($AA$2:AA180,AA180)&gt;1,0,SUMPRODUCT((DailyRouteRecordTable[Route]=AA180)*(IF($B$6="All",1,IFERROR(--MID(DailyRouteRecordTable[Departure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0">
        <f>IF(AB180&lt;=0,"",RANK(AB180,$AB$2:$AB$501,0)+COUNTIFS($AB$2:AB180,AB180)-1)</f>
        <v/>
      </c>
      <c r="AE180">
        <f>IF(AC180&lt;=0,"",RANK(AC180,$AC$2:$AC$501,0)+COUNTIFS($AC$2:AC180,AC180)-1)</f>
        <v/>
      </c>
    </row>
    <row r="181">
      <c r="AA181">
        <f>IFERROR(INDEX(DailyRouteRecordTable[Route],ROW()-1),"")</f>
        <v/>
      </c>
      <c r="AB181">
        <f>IF(AA181="","",IF(COUNTIF($AA$2:AA181,AA181)&gt;1,0,SUMPRODUCT((DailyRouteRecordTable[Route]=AA181)*(IF($B$6="All",1,IFERROR(--MID(DailyRouteRecordTable[Departure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1">
        <f>IF(AA181="","",IF(COUNTIF($AA$2:AA181,AA181)&gt;1,0,SUMPRODUCT((DailyRouteRecordTable[Route]=AA181)*(IF($B$6="All",1,IFERROR(--MID(DailyRouteRecordTable[Departure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1">
        <f>IF(AB181&lt;=0,"",RANK(AB181,$AB$2:$AB$501,0)+COUNTIFS($AB$2:AB181,AB181)-1)</f>
        <v/>
      </c>
      <c r="AE181">
        <f>IF(AC181&lt;=0,"",RANK(AC181,$AC$2:$AC$501,0)+COUNTIFS($AC$2:AC181,AC181)-1)</f>
        <v/>
      </c>
    </row>
    <row r="182">
      <c r="AA182">
        <f>IFERROR(INDEX(DailyRouteRecordTable[Route],ROW()-1),"")</f>
        <v/>
      </c>
      <c r="AB182">
        <f>IF(AA182="","",IF(COUNTIF($AA$2:AA182,AA182)&gt;1,0,SUMPRODUCT((DailyRouteRecordTable[Route]=AA182)*(IF($B$6="All",1,IFERROR(--MID(DailyRouteRecordTable[Departure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2">
        <f>IF(AA182="","",IF(COUNTIF($AA$2:AA182,AA182)&gt;1,0,SUMPRODUCT((DailyRouteRecordTable[Route]=AA182)*(IF($B$6="All",1,IFERROR(--MID(DailyRouteRecordTable[Departure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2">
        <f>IF(AB182&lt;=0,"",RANK(AB182,$AB$2:$AB$501,0)+COUNTIFS($AB$2:AB182,AB182)-1)</f>
        <v/>
      </c>
      <c r="AE182">
        <f>IF(AC182&lt;=0,"",RANK(AC182,$AC$2:$AC$501,0)+COUNTIFS($AC$2:AC182,AC182)-1)</f>
        <v/>
      </c>
    </row>
    <row r="183">
      <c r="AA183">
        <f>IFERROR(INDEX(DailyRouteRecordTable[Route],ROW()-1),"")</f>
        <v/>
      </c>
      <c r="AB183">
        <f>IF(AA183="","",IF(COUNTIF($AA$2:AA183,AA183)&gt;1,0,SUMPRODUCT((DailyRouteRecordTable[Route]=AA183)*(IF($B$6="All",1,IFERROR(--MID(DailyRouteRecordTable[Departure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3">
        <f>IF(AA183="","",IF(COUNTIF($AA$2:AA183,AA183)&gt;1,0,SUMPRODUCT((DailyRouteRecordTable[Route]=AA183)*(IF($B$6="All",1,IFERROR(--MID(DailyRouteRecordTable[Departure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3">
        <f>IF(AB183&lt;=0,"",RANK(AB183,$AB$2:$AB$501,0)+COUNTIFS($AB$2:AB183,AB183)-1)</f>
        <v/>
      </c>
      <c r="AE183">
        <f>IF(AC183&lt;=0,"",RANK(AC183,$AC$2:$AC$501,0)+COUNTIFS($AC$2:AC183,AC183)-1)</f>
        <v/>
      </c>
    </row>
    <row r="184">
      <c r="AA184">
        <f>IFERROR(INDEX(DailyRouteRecordTable[Route],ROW()-1),"")</f>
        <v/>
      </c>
      <c r="AB184">
        <f>IF(AA184="","",IF(COUNTIF($AA$2:AA184,AA184)&gt;1,0,SUMPRODUCT((DailyRouteRecordTable[Route]=AA184)*(IF($B$6="All",1,IFERROR(--MID(DailyRouteRecordTable[Departure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4">
        <f>IF(AA184="","",IF(COUNTIF($AA$2:AA184,AA184)&gt;1,0,SUMPRODUCT((DailyRouteRecordTable[Route]=AA184)*(IF($B$6="All",1,IFERROR(--MID(DailyRouteRecordTable[Departure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4">
        <f>IF(AB184&lt;=0,"",RANK(AB184,$AB$2:$AB$501,0)+COUNTIFS($AB$2:AB184,AB184)-1)</f>
        <v/>
      </c>
      <c r="AE184">
        <f>IF(AC184&lt;=0,"",RANK(AC184,$AC$2:$AC$501,0)+COUNTIFS($AC$2:AC184,AC184)-1)</f>
        <v/>
      </c>
    </row>
    <row r="185">
      <c r="AA185">
        <f>IFERROR(INDEX(DailyRouteRecordTable[Route],ROW()-1),"")</f>
        <v/>
      </c>
      <c r="AB185">
        <f>IF(AA185="","",IF(COUNTIF($AA$2:AA185,AA185)&gt;1,0,SUMPRODUCT((DailyRouteRecordTable[Route]=AA185)*(IF($B$6="All",1,IFERROR(--MID(DailyRouteRecordTable[Departure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5">
        <f>IF(AA185="","",IF(COUNTIF($AA$2:AA185,AA185)&gt;1,0,SUMPRODUCT((DailyRouteRecordTable[Route]=AA185)*(IF($B$6="All",1,IFERROR(--MID(DailyRouteRecordTable[Departure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5">
        <f>IF(AB185&lt;=0,"",RANK(AB185,$AB$2:$AB$501,0)+COUNTIFS($AB$2:AB185,AB185)-1)</f>
        <v/>
      </c>
      <c r="AE185">
        <f>IF(AC185&lt;=0,"",RANK(AC185,$AC$2:$AC$501,0)+COUNTIFS($AC$2:AC185,AC185)-1)</f>
        <v/>
      </c>
    </row>
    <row r="186">
      <c r="AA186">
        <f>IFERROR(INDEX(DailyRouteRecordTable[Route],ROW()-1),"")</f>
        <v/>
      </c>
      <c r="AB186">
        <f>IF(AA186="","",IF(COUNTIF($AA$2:AA186,AA186)&gt;1,0,SUMPRODUCT((DailyRouteRecordTable[Route]=AA186)*(IF($B$6="All",1,IFERROR(--MID(DailyRouteRecordTable[Departure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6">
        <f>IF(AA186="","",IF(COUNTIF($AA$2:AA186,AA186)&gt;1,0,SUMPRODUCT((DailyRouteRecordTable[Route]=AA186)*(IF($B$6="All",1,IFERROR(--MID(DailyRouteRecordTable[Departure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6">
        <f>IF(AB186&lt;=0,"",RANK(AB186,$AB$2:$AB$501,0)+COUNTIFS($AB$2:AB186,AB186)-1)</f>
        <v/>
      </c>
      <c r="AE186">
        <f>IF(AC186&lt;=0,"",RANK(AC186,$AC$2:$AC$501,0)+COUNTIFS($AC$2:AC186,AC186)-1)</f>
        <v/>
      </c>
    </row>
    <row r="187">
      <c r="AA187">
        <f>IFERROR(INDEX(DailyRouteRecordTable[Route],ROW()-1),"")</f>
        <v/>
      </c>
      <c r="AB187">
        <f>IF(AA187="","",IF(COUNTIF($AA$2:AA187,AA187)&gt;1,0,SUMPRODUCT((DailyRouteRecordTable[Route]=AA187)*(IF($B$6="All",1,IFERROR(--MID(DailyRouteRecordTable[Departure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7">
        <f>IF(AA187="","",IF(COUNTIF($AA$2:AA187,AA187)&gt;1,0,SUMPRODUCT((DailyRouteRecordTable[Route]=AA187)*(IF($B$6="All",1,IFERROR(--MID(DailyRouteRecordTable[Departure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7">
        <f>IF(AB187&lt;=0,"",RANK(AB187,$AB$2:$AB$501,0)+COUNTIFS($AB$2:AB187,AB187)-1)</f>
        <v/>
      </c>
      <c r="AE187">
        <f>IF(AC187&lt;=0,"",RANK(AC187,$AC$2:$AC$501,0)+COUNTIFS($AC$2:AC187,AC187)-1)</f>
        <v/>
      </c>
    </row>
    <row r="188">
      <c r="AA188">
        <f>IFERROR(INDEX(DailyRouteRecordTable[Route],ROW()-1),"")</f>
        <v/>
      </c>
      <c r="AB188">
        <f>IF(AA188="","",IF(COUNTIF($AA$2:AA188,AA188)&gt;1,0,SUMPRODUCT((DailyRouteRecordTable[Route]=AA188)*(IF($B$6="All",1,IFERROR(--MID(DailyRouteRecordTable[Departure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8">
        <f>IF(AA188="","",IF(COUNTIF($AA$2:AA188,AA188)&gt;1,0,SUMPRODUCT((DailyRouteRecordTable[Route]=AA188)*(IF($B$6="All",1,IFERROR(--MID(DailyRouteRecordTable[Departure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8">
        <f>IF(AB188&lt;=0,"",RANK(AB188,$AB$2:$AB$501,0)+COUNTIFS($AB$2:AB188,AB188)-1)</f>
        <v/>
      </c>
      <c r="AE188">
        <f>IF(AC188&lt;=0,"",RANK(AC188,$AC$2:$AC$501,0)+COUNTIFS($AC$2:AC188,AC188)-1)</f>
        <v/>
      </c>
    </row>
    <row r="189">
      <c r="AA189">
        <f>IFERROR(INDEX(DailyRouteRecordTable[Route],ROW()-1),"")</f>
        <v/>
      </c>
      <c r="AB189">
        <f>IF(AA189="","",IF(COUNTIF($AA$2:AA189,AA189)&gt;1,0,SUMPRODUCT((DailyRouteRecordTable[Route]=AA189)*(IF($B$6="All",1,IFERROR(--MID(DailyRouteRecordTable[Departure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89">
        <f>IF(AA189="","",IF(COUNTIF($AA$2:AA189,AA189)&gt;1,0,SUMPRODUCT((DailyRouteRecordTable[Route]=AA189)*(IF($B$6="All",1,IFERROR(--MID(DailyRouteRecordTable[Departure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89">
        <f>IF(AB189&lt;=0,"",RANK(AB189,$AB$2:$AB$501,0)+COUNTIFS($AB$2:AB189,AB189)-1)</f>
        <v/>
      </c>
      <c r="AE189">
        <f>IF(AC189&lt;=0,"",RANK(AC189,$AC$2:$AC$501,0)+COUNTIFS($AC$2:AC189,AC189)-1)</f>
        <v/>
      </c>
    </row>
    <row r="190">
      <c r="AA190">
        <f>IFERROR(INDEX(DailyRouteRecordTable[Route],ROW()-1),"")</f>
        <v/>
      </c>
      <c r="AB190">
        <f>IF(AA190="","",IF(COUNTIF($AA$2:AA190,AA190)&gt;1,0,SUMPRODUCT((DailyRouteRecordTable[Route]=AA190)*(IF($B$6="All",1,IFERROR(--MID(DailyRouteRecordTable[Departure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0">
        <f>IF(AA190="","",IF(COUNTIF($AA$2:AA190,AA190)&gt;1,0,SUMPRODUCT((DailyRouteRecordTable[Route]=AA190)*(IF($B$6="All",1,IFERROR(--MID(DailyRouteRecordTable[Departure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0">
        <f>IF(AB190&lt;=0,"",RANK(AB190,$AB$2:$AB$501,0)+COUNTIFS($AB$2:AB190,AB190)-1)</f>
        <v/>
      </c>
      <c r="AE190">
        <f>IF(AC190&lt;=0,"",RANK(AC190,$AC$2:$AC$501,0)+COUNTIFS($AC$2:AC190,AC190)-1)</f>
        <v/>
      </c>
    </row>
    <row r="191">
      <c r="AA191">
        <f>IFERROR(INDEX(DailyRouteRecordTable[Route],ROW()-1),"")</f>
        <v/>
      </c>
      <c r="AB191">
        <f>IF(AA191="","",IF(COUNTIF($AA$2:AA191,AA191)&gt;1,0,SUMPRODUCT((DailyRouteRecordTable[Route]=AA191)*(IF($B$6="All",1,IFERROR(--MID(DailyRouteRecordTable[Departure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1">
        <f>IF(AA191="","",IF(COUNTIF($AA$2:AA191,AA191)&gt;1,0,SUMPRODUCT((DailyRouteRecordTable[Route]=AA191)*(IF($B$6="All",1,IFERROR(--MID(DailyRouteRecordTable[Departure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1">
        <f>IF(AB191&lt;=0,"",RANK(AB191,$AB$2:$AB$501,0)+COUNTIFS($AB$2:AB191,AB191)-1)</f>
        <v/>
      </c>
      <c r="AE191">
        <f>IF(AC191&lt;=0,"",RANK(AC191,$AC$2:$AC$501,0)+COUNTIFS($AC$2:AC191,AC191)-1)</f>
        <v/>
      </c>
    </row>
    <row r="192">
      <c r="AA192">
        <f>IFERROR(INDEX(DailyRouteRecordTable[Route],ROW()-1),"")</f>
        <v/>
      </c>
      <c r="AB192">
        <f>IF(AA192="","",IF(COUNTIF($AA$2:AA192,AA192)&gt;1,0,SUMPRODUCT((DailyRouteRecordTable[Route]=AA192)*(IF($B$6="All",1,IFERROR(--MID(DailyRouteRecordTable[Departure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2">
        <f>IF(AA192="","",IF(COUNTIF($AA$2:AA192,AA192)&gt;1,0,SUMPRODUCT((DailyRouteRecordTable[Route]=AA192)*(IF($B$6="All",1,IFERROR(--MID(DailyRouteRecordTable[Departure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2">
        <f>IF(AB192&lt;=0,"",RANK(AB192,$AB$2:$AB$501,0)+COUNTIFS($AB$2:AB192,AB192)-1)</f>
        <v/>
      </c>
      <c r="AE192">
        <f>IF(AC192&lt;=0,"",RANK(AC192,$AC$2:$AC$501,0)+COUNTIFS($AC$2:AC192,AC192)-1)</f>
        <v/>
      </c>
    </row>
    <row r="193">
      <c r="AA193">
        <f>IFERROR(INDEX(DailyRouteRecordTable[Route],ROW()-1),"")</f>
        <v/>
      </c>
      <c r="AB193">
        <f>IF(AA193="","",IF(COUNTIF($AA$2:AA193,AA193)&gt;1,0,SUMPRODUCT((DailyRouteRecordTable[Route]=AA193)*(IF($B$6="All",1,IFERROR(--MID(DailyRouteRecordTable[Departure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3">
        <f>IF(AA193="","",IF(COUNTIF($AA$2:AA193,AA193)&gt;1,0,SUMPRODUCT((DailyRouteRecordTable[Route]=AA193)*(IF($B$6="All",1,IFERROR(--MID(DailyRouteRecordTable[Departure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3">
        <f>IF(AB193&lt;=0,"",RANK(AB193,$AB$2:$AB$501,0)+COUNTIFS($AB$2:AB193,AB193)-1)</f>
        <v/>
      </c>
      <c r="AE193">
        <f>IF(AC193&lt;=0,"",RANK(AC193,$AC$2:$AC$501,0)+COUNTIFS($AC$2:AC193,AC193)-1)</f>
        <v/>
      </c>
    </row>
    <row r="194">
      <c r="AA194">
        <f>IFERROR(INDEX(DailyRouteRecordTable[Route],ROW()-1),"")</f>
        <v/>
      </c>
      <c r="AB194">
        <f>IF(AA194="","",IF(COUNTIF($AA$2:AA194,AA194)&gt;1,0,SUMPRODUCT((DailyRouteRecordTable[Route]=AA194)*(IF($B$6="All",1,IFERROR(--MID(DailyRouteRecordTable[Departure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4">
        <f>IF(AA194="","",IF(COUNTIF($AA$2:AA194,AA194)&gt;1,0,SUMPRODUCT((DailyRouteRecordTable[Route]=AA194)*(IF($B$6="All",1,IFERROR(--MID(DailyRouteRecordTable[Departure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4">
        <f>IF(AB194&lt;=0,"",RANK(AB194,$AB$2:$AB$501,0)+COUNTIFS($AB$2:AB194,AB194)-1)</f>
        <v/>
      </c>
      <c r="AE194">
        <f>IF(AC194&lt;=0,"",RANK(AC194,$AC$2:$AC$501,0)+COUNTIFS($AC$2:AC194,AC194)-1)</f>
        <v/>
      </c>
    </row>
    <row r="195">
      <c r="AA195">
        <f>IFERROR(INDEX(DailyRouteRecordTable[Route],ROW()-1),"")</f>
        <v/>
      </c>
      <c r="AB195">
        <f>IF(AA195="","",IF(COUNTIF($AA$2:AA195,AA195)&gt;1,0,SUMPRODUCT((DailyRouteRecordTable[Route]=AA195)*(IF($B$6="All",1,IFERROR(--MID(DailyRouteRecordTable[Departure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5">
        <f>IF(AA195="","",IF(COUNTIF($AA$2:AA195,AA195)&gt;1,0,SUMPRODUCT((DailyRouteRecordTable[Route]=AA195)*(IF($B$6="All",1,IFERROR(--MID(DailyRouteRecordTable[Departure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5">
        <f>IF(AB195&lt;=0,"",RANK(AB195,$AB$2:$AB$501,0)+COUNTIFS($AB$2:AB195,AB195)-1)</f>
        <v/>
      </c>
      <c r="AE195">
        <f>IF(AC195&lt;=0,"",RANK(AC195,$AC$2:$AC$501,0)+COUNTIFS($AC$2:AC195,AC195)-1)</f>
        <v/>
      </c>
    </row>
    <row r="196">
      <c r="AA196">
        <f>IFERROR(INDEX(DailyRouteRecordTable[Route],ROW()-1),"")</f>
        <v/>
      </c>
      <c r="AB196">
        <f>IF(AA196="","",IF(COUNTIF($AA$2:AA196,AA196)&gt;1,0,SUMPRODUCT((DailyRouteRecordTable[Route]=AA196)*(IF($B$6="All",1,IFERROR(--MID(DailyRouteRecordTable[Departure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6">
        <f>IF(AA196="","",IF(COUNTIF($AA$2:AA196,AA196)&gt;1,0,SUMPRODUCT((DailyRouteRecordTable[Route]=AA196)*(IF($B$6="All",1,IFERROR(--MID(DailyRouteRecordTable[Departure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6">
        <f>IF(AB196&lt;=0,"",RANK(AB196,$AB$2:$AB$501,0)+COUNTIFS($AB$2:AB196,AB196)-1)</f>
        <v/>
      </c>
      <c r="AE196">
        <f>IF(AC196&lt;=0,"",RANK(AC196,$AC$2:$AC$501,0)+COUNTIFS($AC$2:AC196,AC196)-1)</f>
        <v/>
      </c>
    </row>
    <row r="197">
      <c r="AA197">
        <f>IFERROR(INDEX(DailyRouteRecordTable[Route],ROW()-1),"")</f>
        <v/>
      </c>
      <c r="AB197">
        <f>IF(AA197="","",IF(COUNTIF($AA$2:AA197,AA197)&gt;1,0,SUMPRODUCT((DailyRouteRecordTable[Route]=AA197)*(IF($B$6="All",1,IFERROR(--MID(DailyRouteRecordTable[Departure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7">
        <f>IF(AA197="","",IF(COUNTIF($AA$2:AA197,AA197)&gt;1,0,SUMPRODUCT((DailyRouteRecordTable[Route]=AA197)*(IF($B$6="All",1,IFERROR(--MID(DailyRouteRecordTable[Departure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7">
        <f>IF(AB197&lt;=0,"",RANK(AB197,$AB$2:$AB$501,0)+COUNTIFS($AB$2:AB197,AB197)-1)</f>
        <v/>
      </c>
      <c r="AE197">
        <f>IF(AC197&lt;=0,"",RANK(AC197,$AC$2:$AC$501,0)+COUNTIFS($AC$2:AC197,AC197)-1)</f>
        <v/>
      </c>
    </row>
    <row r="198">
      <c r="AA198">
        <f>IFERROR(INDEX(DailyRouteRecordTable[Route],ROW()-1),"")</f>
        <v/>
      </c>
      <c r="AB198">
        <f>IF(AA198="","",IF(COUNTIF($AA$2:AA198,AA198)&gt;1,0,SUMPRODUCT((DailyRouteRecordTable[Route]=AA198)*(IF($B$6="All",1,IFERROR(--MID(DailyRouteRecordTable[Departure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8">
        <f>IF(AA198="","",IF(COUNTIF($AA$2:AA198,AA198)&gt;1,0,SUMPRODUCT((DailyRouteRecordTable[Route]=AA198)*(IF($B$6="All",1,IFERROR(--MID(DailyRouteRecordTable[Departure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8">
        <f>IF(AB198&lt;=0,"",RANK(AB198,$AB$2:$AB$501,0)+COUNTIFS($AB$2:AB198,AB198)-1)</f>
        <v/>
      </c>
      <c r="AE198">
        <f>IF(AC198&lt;=0,"",RANK(AC198,$AC$2:$AC$501,0)+COUNTIFS($AC$2:AC198,AC198)-1)</f>
        <v/>
      </c>
    </row>
    <row r="199">
      <c r="AA199">
        <f>IFERROR(INDEX(DailyRouteRecordTable[Route],ROW()-1),"")</f>
        <v/>
      </c>
      <c r="AB199">
        <f>IF(AA199="","",IF(COUNTIF($AA$2:AA199,AA199)&gt;1,0,SUMPRODUCT((DailyRouteRecordTable[Route]=AA199)*(IF($B$6="All",1,IFERROR(--MID(DailyRouteRecordTable[Departure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199">
        <f>IF(AA199="","",IF(COUNTIF($AA$2:AA199,AA199)&gt;1,0,SUMPRODUCT((DailyRouteRecordTable[Route]=AA199)*(IF($B$6="All",1,IFERROR(--MID(DailyRouteRecordTable[Departure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199">
        <f>IF(AB199&lt;=0,"",RANK(AB199,$AB$2:$AB$501,0)+COUNTIFS($AB$2:AB199,AB199)-1)</f>
        <v/>
      </c>
      <c r="AE199">
        <f>IF(AC199&lt;=0,"",RANK(AC199,$AC$2:$AC$501,0)+COUNTIFS($AC$2:AC199,AC199)-1)</f>
        <v/>
      </c>
    </row>
    <row r="200">
      <c r="AA200">
        <f>IFERROR(INDEX(DailyRouteRecordTable[Route],ROW()-1),"")</f>
        <v/>
      </c>
      <c r="AB200">
        <f>IF(AA200="","",IF(COUNTIF($AA$2:AA200,AA200)&gt;1,0,SUMPRODUCT((DailyRouteRecordTable[Route]=AA200)*(IF($B$6="All",1,IFERROR(--MID(DailyRouteRecordTable[Departure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0">
        <f>IF(AA200="","",IF(COUNTIF($AA$2:AA200,AA200)&gt;1,0,SUMPRODUCT((DailyRouteRecordTable[Route]=AA200)*(IF($B$6="All",1,IFERROR(--MID(DailyRouteRecordTable[Departure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0">
        <f>IF(AB200&lt;=0,"",RANK(AB200,$AB$2:$AB$501,0)+COUNTIFS($AB$2:AB200,AB200)-1)</f>
        <v/>
      </c>
      <c r="AE200">
        <f>IF(AC200&lt;=0,"",RANK(AC200,$AC$2:$AC$501,0)+COUNTIFS($AC$2:AC200,AC200)-1)</f>
        <v/>
      </c>
    </row>
    <row r="201">
      <c r="AA201">
        <f>IFERROR(INDEX(DailyRouteRecordTable[Route],ROW()-1),"")</f>
        <v/>
      </c>
      <c r="AB201">
        <f>IF(AA201="","",IF(COUNTIF($AA$2:AA201,AA201)&gt;1,0,SUMPRODUCT((DailyRouteRecordTable[Route]=AA201)*(IF($B$6="All",1,IFERROR(--MID(DailyRouteRecordTable[Departure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1">
        <f>IF(AA201="","",IF(COUNTIF($AA$2:AA201,AA201)&gt;1,0,SUMPRODUCT((DailyRouteRecordTable[Route]=AA201)*(IF($B$6="All",1,IFERROR(--MID(DailyRouteRecordTable[Departure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1">
        <f>IF(AB201&lt;=0,"",RANK(AB201,$AB$2:$AB$501,0)+COUNTIFS($AB$2:AB201,AB201)-1)</f>
        <v/>
      </c>
      <c r="AE201">
        <f>IF(AC201&lt;=0,"",RANK(AC201,$AC$2:$AC$501,0)+COUNTIFS($AC$2:AC201,AC201)-1)</f>
        <v/>
      </c>
    </row>
    <row r="202">
      <c r="AA202">
        <f>IFERROR(INDEX(DailyRouteRecordTable[Route],ROW()-1),"")</f>
        <v/>
      </c>
      <c r="AB202">
        <f>IF(AA202="","",IF(COUNTIF($AA$2:AA202,AA202)&gt;1,0,SUMPRODUCT((DailyRouteRecordTable[Route]=AA202)*(IF($B$6="All",1,IFERROR(--MID(DailyRouteRecordTable[Departure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2">
        <f>IF(AA202="","",IF(COUNTIF($AA$2:AA202,AA202)&gt;1,0,SUMPRODUCT((DailyRouteRecordTable[Route]=AA202)*(IF($B$6="All",1,IFERROR(--MID(DailyRouteRecordTable[Departure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2">
        <f>IF(AB202&lt;=0,"",RANK(AB202,$AB$2:$AB$501,0)+COUNTIFS($AB$2:AB202,AB202)-1)</f>
        <v/>
      </c>
      <c r="AE202">
        <f>IF(AC202&lt;=0,"",RANK(AC202,$AC$2:$AC$501,0)+COUNTIFS($AC$2:AC202,AC202)-1)</f>
        <v/>
      </c>
    </row>
    <row r="203">
      <c r="AA203">
        <f>IFERROR(INDEX(DailyRouteRecordTable[Route],ROW()-1),"")</f>
        <v/>
      </c>
      <c r="AB203">
        <f>IF(AA203="","",IF(COUNTIF($AA$2:AA203,AA203)&gt;1,0,SUMPRODUCT((DailyRouteRecordTable[Route]=AA203)*(IF($B$6="All",1,IFERROR(--MID(DailyRouteRecordTable[Departure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3">
        <f>IF(AA203="","",IF(COUNTIF($AA$2:AA203,AA203)&gt;1,0,SUMPRODUCT((DailyRouteRecordTable[Route]=AA203)*(IF($B$6="All",1,IFERROR(--MID(DailyRouteRecordTable[Departure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3">
        <f>IF(AB203&lt;=0,"",RANK(AB203,$AB$2:$AB$501,0)+COUNTIFS($AB$2:AB203,AB203)-1)</f>
        <v/>
      </c>
      <c r="AE203">
        <f>IF(AC203&lt;=0,"",RANK(AC203,$AC$2:$AC$501,0)+COUNTIFS($AC$2:AC203,AC203)-1)</f>
        <v/>
      </c>
    </row>
    <row r="204">
      <c r="AA204">
        <f>IFERROR(INDEX(DailyRouteRecordTable[Route],ROW()-1),"")</f>
        <v/>
      </c>
      <c r="AB204">
        <f>IF(AA204="","",IF(COUNTIF($AA$2:AA204,AA204)&gt;1,0,SUMPRODUCT((DailyRouteRecordTable[Route]=AA204)*(IF($B$6="All",1,IFERROR(--MID(DailyRouteRecordTable[Departure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4">
        <f>IF(AA204="","",IF(COUNTIF($AA$2:AA204,AA204)&gt;1,0,SUMPRODUCT((DailyRouteRecordTable[Route]=AA204)*(IF($B$6="All",1,IFERROR(--MID(DailyRouteRecordTable[Departure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4">
        <f>IF(AB204&lt;=0,"",RANK(AB204,$AB$2:$AB$501,0)+COUNTIFS($AB$2:AB204,AB204)-1)</f>
        <v/>
      </c>
      <c r="AE204">
        <f>IF(AC204&lt;=0,"",RANK(AC204,$AC$2:$AC$501,0)+COUNTIFS($AC$2:AC204,AC204)-1)</f>
        <v/>
      </c>
    </row>
    <row r="205">
      <c r="AA205">
        <f>IFERROR(INDEX(DailyRouteRecordTable[Route],ROW()-1),"")</f>
        <v/>
      </c>
      <c r="AB205">
        <f>IF(AA205="","",IF(COUNTIF($AA$2:AA205,AA205)&gt;1,0,SUMPRODUCT((DailyRouteRecordTable[Route]=AA205)*(IF($B$6="All",1,IFERROR(--MID(DailyRouteRecordTable[Departure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5">
        <f>IF(AA205="","",IF(COUNTIF($AA$2:AA205,AA205)&gt;1,0,SUMPRODUCT((DailyRouteRecordTable[Route]=AA205)*(IF($B$6="All",1,IFERROR(--MID(DailyRouteRecordTable[Departure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5">
        <f>IF(AB205&lt;=0,"",RANK(AB205,$AB$2:$AB$501,0)+COUNTIFS($AB$2:AB205,AB205)-1)</f>
        <v/>
      </c>
      <c r="AE205">
        <f>IF(AC205&lt;=0,"",RANK(AC205,$AC$2:$AC$501,0)+COUNTIFS($AC$2:AC205,AC205)-1)</f>
        <v/>
      </c>
    </row>
    <row r="206">
      <c r="AA206">
        <f>IFERROR(INDEX(DailyRouteRecordTable[Route],ROW()-1),"")</f>
        <v/>
      </c>
      <c r="AB206">
        <f>IF(AA206="","",IF(COUNTIF($AA$2:AA206,AA206)&gt;1,0,SUMPRODUCT((DailyRouteRecordTable[Route]=AA206)*(IF($B$6="All",1,IFERROR(--MID(DailyRouteRecordTable[Departure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6">
        <f>IF(AA206="","",IF(COUNTIF($AA$2:AA206,AA206)&gt;1,0,SUMPRODUCT((DailyRouteRecordTable[Route]=AA206)*(IF($B$6="All",1,IFERROR(--MID(DailyRouteRecordTable[Departure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6">
        <f>IF(AB206&lt;=0,"",RANK(AB206,$AB$2:$AB$501,0)+COUNTIFS($AB$2:AB206,AB206)-1)</f>
        <v/>
      </c>
      <c r="AE206">
        <f>IF(AC206&lt;=0,"",RANK(AC206,$AC$2:$AC$501,0)+COUNTIFS($AC$2:AC206,AC206)-1)</f>
        <v/>
      </c>
    </row>
    <row r="207">
      <c r="AA207">
        <f>IFERROR(INDEX(DailyRouteRecordTable[Route],ROW()-1),"")</f>
        <v/>
      </c>
      <c r="AB207">
        <f>IF(AA207="","",IF(COUNTIF($AA$2:AA207,AA207)&gt;1,0,SUMPRODUCT((DailyRouteRecordTable[Route]=AA207)*(IF($B$6="All",1,IFERROR(--MID(DailyRouteRecordTable[Departure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7">
        <f>IF(AA207="","",IF(COUNTIF($AA$2:AA207,AA207)&gt;1,0,SUMPRODUCT((DailyRouteRecordTable[Route]=AA207)*(IF($B$6="All",1,IFERROR(--MID(DailyRouteRecordTable[Departure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7">
        <f>IF(AB207&lt;=0,"",RANK(AB207,$AB$2:$AB$501,0)+COUNTIFS($AB$2:AB207,AB207)-1)</f>
        <v/>
      </c>
      <c r="AE207">
        <f>IF(AC207&lt;=0,"",RANK(AC207,$AC$2:$AC$501,0)+COUNTIFS($AC$2:AC207,AC207)-1)</f>
        <v/>
      </c>
    </row>
    <row r="208">
      <c r="AA208">
        <f>IFERROR(INDEX(DailyRouteRecordTable[Route],ROW()-1),"")</f>
        <v/>
      </c>
      <c r="AB208">
        <f>IF(AA208="","",IF(COUNTIF($AA$2:AA208,AA208)&gt;1,0,SUMPRODUCT((DailyRouteRecordTable[Route]=AA208)*(IF($B$6="All",1,IFERROR(--MID(DailyRouteRecordTable[Departure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8">
        <f>IF(AA208="","",IF(COUNTIF($AA$2:AA208,AA208)&gt;1,0,SUMPRODUCT((DailyRouteRecordTable[Route]=AA208)*(IF($B$6="All",1,IFERROR(--MID(DailyRouteRecordTable[Departure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8">
        <f>IF(AB208&lt;=0,"",RANK(AB208,$AB$2:$AB$501,0)+COUNTIFS($AB$2:AB208,AB208)-1)</f>
        <v/>
      </c>
      <c r="AE208">
        <f>IF(AC208&lt;=0,"",RANK(AC208,$AC$2:$AC$501,0)+COUNTIFS($AC$2:AC208,AC208)-1)</f>
        <v/>
      </c>
    </row>
    <row r="209">
      <c r="AA209">
        <f>IFERROR(INDEX(DailyRouteRecordTable[Route],ROW()-1),"")</f>
        <v/>
      </c>
      <c r="AB209">
        <f>IF(AA209="","",IF(COUNTIF($AA$2:AA209,AA209)&gt;1,0,SUMPRODUCT((DailyRouteRecordTable[Route]=AA209)*(IF($B$6="All",1,IFERROR(--MID(DailyRouteRecordTable[Departure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09">
        <f>IF(AA209="","",IF(COUNTIF($AA$2:AA209,AA209)&gt;1,0,SUMPRODUCT((DailyRouteRecordTable[Route]=AA209)*(IF($B$6="All",1,IFERROR(--MID(DailyRouteRecordTable[Departure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09">
        <f>IF(AB209&lt;=0,"",RANK(AB209,$AB$2:$AB$501,0)+COUNTIFS($AB$2:AB209,AB209)-1)</f>
        <v/>
      </c>
      <c r="AE209">
        <f>IF(AC209&lt;=0,"",RANK(AC209,$AC$2:$AC$501,0)+COUNTIFS($AC$2:AC209,AC209)-1)</f>
        <v/>
      </c>
    </row>
    <row r="210">
      <c r="AA210">
        <f>IFERROR(INDEX(DailyRouteRecordTable[Route],ROW()-1),"")</f>
        <v/>
      </c>
      <c r="AB210">
        <f>IF(AA210="","",IF(COUNTIF($AA$2:AA210,AA210)&gt;1,0,SUMPRODUCT((DailyRouteRecordTable[Route]=AA210)*(IF($B$6="All",1,IFERROR(--MID(DailyRouteRecordTable[Departure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0">
        <f>IF(AA210="","",IF(COUNTIF($AA$2:AA210,AA210)&gt;1,0,SUMPRODUCT((DailyRouteRecordTable[Route]=AA210)*(IF($B$6="All",1,IFERROR(--MID(DailyRouteRecordTable[Departure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0">
        <f>IF(AB210&lt;=0,"",RANK(AB210,$AB$2:$AB$501,0)+COUNTIFS($AB$2:AB210,AB210)-1)</f>
        <v/>
      </c>
      <c r="AE210">
        <f>IF(AC210&lt;=0,"",RANK(AC210,$AC$2:$AC$501,0)+COUNTIFS($AC$2:AC210,AC210)-1)</f>
        <v/>
      </c>
    </row>
    <row r="211">
      <c r="AA211">
        <f>IFERROR(INDEX(DailyRouteRecordTable[Route],ROW()-1),"")</f>
        <v/>
      </c>
      <c r="AB211">
        <f>IF(AA211="","",IF(COUNTIF($AA$2:AA211,AA211)&gt;1,0,SUMPRODUCT((DailyRouteRecordTable[Route]=AA211)*(IF($B$6="All",1,IFERROR(--MID(DailyRouteRecordTable[Departure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1">
        <f>IF(AA211="","",IF(COUNTIF($AA$2:AA211,AA211)&gt;1,0,SUMPRODUCT((DailyRouteRecordTable[Route]=AA211)*(IF($B$6="All",1,IFERROR(--MID(DailyRouteRecordTable[Departure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1">
        <f>IF(AB211&lt;=0,"",RANK(AB211,$AB$2:$AB$501,0)+COUNTIFS($AB$2:AB211,AB211)-1)</f>
        <v/>
      </c>
      <c r="AE211">
        <f>IF(AC211&lt;=0,"",RANK(AC211,$AC$2:$AC$501,0)+COUNTIFS($AC$2:AC211,AC211)-1)</f>
        <v/>
      </c>
    </row>
    <row r="212">
      <c r="AA212">
        <f>IFERROR(INDEX(DailyRouteRecordTable[Route],ROW()-1),"")</f>
        <v/>
      </c>
      <c r="AB212">
        <f>IF(AA212="","",IF(COUNTIF($AA$2:AA212,AA212)&gt;1,0,SUMPRODUCT((DailyRouteRecordTable[Route]=AA212)*(IF($B$6="All",1,IFERROR(--MID(DailyRouteRecordTable[Departure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2">
        <f>IF(AA212="","",IF(COUNTIF($AA$2:AA212,AA212)&gt;1,0,SUMPRODUCT((DailyRouteRecordTable[Route]=AA212)*(IF($B$6="All",1,IFERROR(--MID(DailyRouteRecordTable[Departure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2">
        <f>IF(AB212&lt;=0,"",RANK(AB212,$AB$2:$AB$501,0)+COUNTIFS($AB$2:AB212,AB212)-1)</f>
        <v/>
      </c>
      <c r="AE212">
        <f>IF(AC212&lt;=0,"",RANK(AC212,$AC$2:$AC$501,0)+COUNTIFS($AC$2:AC212,AC212)-1)</f>
        <v/>
      </c>
    </row>
    <row r="213">
      <c r="AA213">
        <f>IFERROR(INDEX(DailyRouteRecordTable[Route],ROW()-1),"")</f>
        <v/>
      </c>
      <c r="AB213">
        <f>IF(AA213="","",IF(COUNTIF($AA$2:AA213,AA213)&gt;1,0,SUMPRODUCT((DailyRouteRecordTable[Route]=AA213)*(IF($B$6="All",1,IFERROR(--MID(DailyRouteRecordTable[Departure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3">
        <f>IF(AA213="","",IF(COUNTIF($AA$2:AA213,AA213)&gt;1,0,SUMPRODUCT((DailyRouteRecordTable[Route]=AA213)*(IF($B$6="All",1,IFERROR(--MID(DailyRouteRecordTable[Departure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3">
        <f>IF(AB213&lt;=0,"",RANK(AB213,$AB$2:$AB$501,0)+COUNTIFS($AB$2:AB213,AB213)-1)</f>
        <v/>
      </c>
      <c r="AE213">
        <f>IF(AC213&lt;=0,"",RANK(AC213,$AC$2:$AC$501,0)+COUNTIFS($AC$2:AC213,AC213)-1)</f>
        <v/>
      </c>
    </row>
    <row r="214">
      <c r="AA214">
        <f>IFERROR(INDEX(DailyRouteRecordTable[Route],ROW()-1),"")</f>
        <v/>
      </c>
      <c r="AB214">
        <f>IF(AA214="","",IF(COUNTIF($AA$2:AA214,AA214)&gt;1,0,SUMPRODUCT((DailyRouteRecordTable[Route]=AA214)*(IF($B$6="All",1,IFERROR(--MID(DailyRouteRecordTable[Departure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4">
        <f>IF(AA214="","",IF(COUNTIF($AA$2:AA214,AA214)&gt;1,0,SUMPRODUCT((DailyRouteRecordTable[Route]=AA214)*(IF($B$6="All",1,IFERROR(--MID(DailyRouteRecordTable[Departure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4">
        <f>IF(AB214&lt;=0,"",RANK(AB214,$AB$2:$AB$501,0)+COUNTIFS($AB$2:AB214,AB214)-1)</f>
        <v/>
      </c>
      <c r="AE214">
        <f>IF(AC214&lt;=0,"",RANK(AC214,$AC$2:$AC$501,0)+COUNTIFS($AC$2:AC214,AC214)-1)</f>
        <v/>
      </c>
    </row>
    <row r="215">
      <c r="AA215">
        <f>IFERROR(INDEX(DailyRouteRecordTable[Route],ROW()-1),"")</f>
        <v/>
      </c>
      <c r="AB215">
        <f>IF(AA215="","",IF(COUNTIF($AA$2:AA215,AA215)&gt;1,0,SUMPRODUCT((DailyRouteRecordTable[Route]=AA215)*(IF($B$6="All",1,IFERROR(--MID(DailyRouteRecordTable[Departure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5">
        <f>IF(AA215="","",IF(COUNTIF($AA$2:AA215,AA215)&gt;1,0,SUMPRODUCT((DailyRouteRecordTable[Route]=AA215)*(IF($B$6="All",1,IFERROR(--MID(DailyRouteRecordTable[Departure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5">
        <f>IF(AB215&lt;=0,"",RANK(AB215,$AB$2:$AB$501,0)+COUNTIFS($AB$2:AB215,AB215)-1)</f>
        <v/>
      </c>
      <c r="AE215">
        <f>IF(AC215&lt;=0,"",RANK(AC215,$AC$2:$AC$501,0)+COUNTIFS($AC$2:AC215,AC215)-1)</f>
        <v/>
      </c>
    </row>
    <row r="216">
      <c r="AA216">
        <f>IFERROR(INDEX(DailyRouteRecordTable[Route],ROW()-1),"")</f>
        <v/>
      </c>
      <c r="AB216">
        <f>IF(AA216="","",IF(COUNTIF($AA$2:AA216,AA216)&gt;1,0,SUMPRODUCT((DailyRouteRecordTable[Route]=AA216)*(IF($B$6="All",1,IFERROR(--MID(DailyRouteRecordTable[Departure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6">
        <f>IF(AA216="","",IF(COUNTIF($AA$2:AA216,AA216)&gt;1,0,SUMPRODUCT((DailyRouteRecordTable[Route]=AA216)*(IF($B$6="All",1,IFERROR(--MID(DailyRouteRecordTable[Departure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6">
        <f>IF(AB216&lt;=0,"",RANK(AB216,$AB$2:$AB$501,0)+COUNTIFS($AB$2:AB216,AB216)-1)</f>
        <v/>
      </c>
      <c r="AE216">
        <f>IF(AC216&lt;=0,"",RANK(AC216,$AC$2:$AC$501,0)+COUNTIFS($AC$2:AC216,AC216)-1)</f>
        <v/>
      </c>
    </row>
    <row r="217">
      <c r="AA217">
        <f>IFERROR(INDEX(DailyRouteRecordTable[Route],ROW()-1),"")</f>
        <v/>
      </c>
      <c r="AB217">
        <f>IF(AA217="","",IF(COUNTIF($AA$2:AA217,AA217)&gt;1,0,SUMPRODUCT((DailyRouteRecordTable[Route]=AA217)*(IF($B$6="All",1,IFERROR(--MID(DailyRouteRecordTable[Departure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7">
        <f>IF(AA217="","",IF(COUNTIF($AA$2:AA217,AA217)&gt;1,0,SUMPRODUCT((DailyRouteRecordTable[Route]=AA217)*(IF($B$6="All",1,IFERROR(--MID(DailyRouteRecordTable[Departure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7">
        <f>IF(AB217&lt;=0,"",RANK(AB217,$AB$2:$AB$501,0)+COUNTIFS($AB$2:AB217,AB217)-1)</f>
        <v/>
      </c>
      <c r="AE217">
        <f>IF(AC217&lt;=0,"",RANK(AC217,$AC$2:$AC$501,0)+COUNTIFS($AC$2:AC217,AC217)-1)</f>
        <v/>
      </c>
    </row>
    <row r="218">
      <c r="AA218">
        <f>IFERROR(INDEX(DailyRouteRecordTable[Route],ROW()-1),"")</f>
        <v/>
      </c>
      <c r="AB218">
        <f>IF(AA218="","",IF(COUNTIF($AA$2:AA218,AA218)&gt;1,0,SUMPRODUCT((DailyRouteRecordTable[Route]=AA218)*(IF($B$6="All",1,IFERROR(--MID(DailyRouteRecordTable[Departure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8">
        <f>IF(AA218="","",IF(COUNTIF($AA$2:AA218,AA218)&gt;1,0,SUMPRODUCT((DailyRouteRecordTable[Route]=AA218)*(IF($B$6="All",1,IFERROR(--MID(DailyRouteRecordTable[Departure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8">
        <f>IF(AB218&lt;=0,"",RANK(AB218,$AB$2:$AB$501,0)+COUNTIFS($AB$2:AB218,AB218)-1)</f>
        <v/>
      </c>
      <c r="AE218">
        <f>IF(AC218&lt;=0,"",RANK(AC218,$AC$2:$AC$501,0)+COUNTIFS($AC$2:AC218,AC218)-1)</f>
        <v/>
      </c>
    </row>
    <row r="219">
      <c r="AA219">
        <f>IFERROR(INDEX(DailyRouteRecordTable[Route],ROW()-1),"")</f>
        <v/>
      </c>
      <c r="AB219">
        <f>IF(AA219="","",IF(COUNTIF($AA$2:AA219,AA219)&gt;1,0,SUMPRODUCT((DailyRouteRecordTable[Route]=AA219)*(IF($B$6="All",1,IFERROR(--MID(DailyRouteRecordTable[Departure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19">
        <f>IF(AA219="","",IF(COUNTIF($AA$2:AA219,AA219)&gt;1,0,SUMPRODUCT((DailyRouteRecordTable[Route]=AA219)*(IF($B$6="All",1,IFERROR(--MID(DailyRouteRecordTable[Departure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19">
        <f>IF(AB219&lt;=0,"",RANK(AB219,$AB$2:$AB$501,0)+COUNTIFS($AB$2:AB219,AB219)-1)</f>
        <v/>
      </c>
      <c r="AE219">
        <f>IF(AC219&lt;=0,"",RANK(AC219,$AC$2:$AC$501,0)+COUNTIFS($AC$2:AC219,AC219)-1)</f>
        <v/>
      </c>
    </row>
    <row r="220">
      <c r="AA220">
        <f>IFERROR(INDEX(DailyRouteRecordTable[Route],ROW()-1),"")</f>
        <v/>
      </c>
      <c r="AB220">
        <f>IF(AA220="","",IF(COUNTIF($AA$2:AA220,AA220)&gt;1,0,SUMPRODUCT((DailyRouteRecordTable[Route]=AA220)*(IF($B$6="All",1,IFERROR(--MID(DailyRouteRecordTable[Departure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0">
        <f>IF(AA220="","",IF(COUNTIF($AA$2:AA220,AA220)&gt;1,0,SUMPRODUCT((DailyRouteRecordTable[Route]=AA220)*(IF($B$6="All",1,IFERROR(--MID(DailyRouteRecordTable[Departure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0">
        <f>IF(AB220&lt;=0,"",RANK(AB220,$AB$2:$AB$501,0)+COUNTIFS($AB$2:AB220,AB220)-1)</f>
        <v/>
      </c>
      <c r="AE220">
        <f>IF(AC220&lt;=0,"",RANK(AC220,$AC$2:$AC$501,0)+COUNTIFS($AC$2:AC220,AC220)-1)</f>
        <v/>
      </c>
    </row>
    <row r="221">
      <c r="AA221">
        <f>IFERROR(INDEX(DailyRouteRecordTable[Route],ROW()-1),"")</f>
        <v/>
      </c>
      <c r="AB221">
        <f>IF(AA221="","",IF(COUNTIF($AA$2:AA221,AA221)&gt;1,0,SUMPRODUCT((DailyRouteRecordTable[Route]=AA221)*(IF($B$6="All",1,IFERROR(--MID(DailyRouteRecordTable[Departure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1">
        <f>IF(AA221="","",IF(COUNTIF($AA$2:AA221,AA221)&gt;1,0,SUMPRODUCT((DailyRouteRecordTable[Route]=AA221)*(IF($B$6="All",1,IFERROR(--MID(DailyRouteRecordTable[Departure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1">
        <f>IF(AB221&lt;=0,"",RANK(AB221,$AB$2:$AB$501,0)+COUNTIFS($AB$2:AB221,AB221)-1)</f>
        <v/>
      </c>
      <c r="AE221">
        <f>IF(AC221&lt;=0,"",RANK(AC221,$AC$2:$AC$501,0)+COUNTIFS($AC$2:AC221,AC221)-1)</f>
        <v/>
      </c>
    </row>
    <row r="222">
      <c r="AA222">
        <f>IFERROR(INDEX(DailyRouteRecordTable[Route],ROW()-1),"")</f>
        <v/>
      </c>
      <c r="AB222">
        <f>IF(AA222="","",IF(COUNTIF($AA$2:AA222,AA222)&gt;1,0,SUMPRODUCT((DailyRouteRecordTable[Route]=AA222)*(IF($B$6="All",1,IFERROR(--MID(DailyRouteRecordTable[Departure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2">
        <f>IF(AA222="","",IF(COUNTIF($AA$2:AA222,AA222)&gt;1,0,SUMPRODUCT((DailyRouteRecordTable[Route]=AA222)*(IF($B$6="All",1,IFERROR(--MID(DailyRouteRecordTable[Departure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2">
        <f>IF(AB222&lt;=0,"",RANK(AB222,$AB$2:$AB$501,0)+COUNTIFS($AB$2:AB222,AB222)-1)</f>
        <v/>
      </c>
      <c r="AE222">
        <f>IF(AC222&lt;=0,"",RANK(AC222,$AC$2:$AC$501,0)+COUNTIFS($AC$2:AC222,AC222)-1)</f>
        <v/>
      </c>
    </row>
    <row r="223">
      <c r="AA223">
        <f>IFERROR(INDEX(DailyRouteRecordTable[Route],ROW()-1),"")</f>
        <v/>
      </c>
      <c r="AB223">
        <f>IF(AA223="","",IF(COUNTIF($AA$2:AA223,AA223)&gt;1,0,SUMPRODUCT((DailyRouteRecordTable[Route]=AA223)*(IF($B$6="All",1,IFERROR(--MID(DailyRouteRecordTable[Departure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3">
        <f>IF(AA223="","",IF(COUNTIF($AA$2:AA223,AA223)&gt;1,0,SUMPRODUCT((DailyRouteRecordTable[Route]=AA223)*(IF($B$6="All",1,IFERROR(--MID(DailyRouteRecordTable[Departure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3">
        <f>IF(AB223&lt;=0,"",RANK(AB223,$AB$2:$AB$501,0)+COUNTIFS($AB$2:AB223,AB223)-1)</f>
        <v/>
      </c>
      <c r="AE223">
        <f>IF(AC223&lt;=0,"",RANK(AC223,$AC$2:$AC$501,0)+COUNTIFS($AC$2:AC223,AC223)-1)</f>
        <v/>
      </c>
    </row>
    <row r="224">
      <c r="AA224">
        <f>IFERROR(INDEX(DailyRouteRecordTable[Route],ROW()-1),"")</f>
        <v/>
      </c>
      <c r="AB224">
        <f>IF(AA224="","",IF(COUNTIF($AA$2:AA224,AA224)&gt;1,0,SUMPRODUCT((DailyRouteRecordTable[Route]=AA224)*(IF($B$6="All",1,IFERROR(--MID(DailyRouteRecordTable[Departure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4">
        <f>IF(AA224="","",IF(COUNTIF($AA$2:AA224,AA224)&gt;1,0,SUMPRODUCT((DailyRouteRecordTable[Route]=AA224)*(IF($B$6="All",1,IFERROR(--MID(DailyRouteRecordTable[Departure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4">
        <f>IF(AB224&lt;=0,"",RANK(AB224,$AB$2:$AB$501,0)+COUNTIFS($AB$2:AB224,AB224)-1)</f>
        <v/>
      </c>
      <c r="AE224">
        <f>IF(AC224&lt;=0,"",RANK(AC224,$AC$2:$AC$501,0)+COUNTIFS($AC$2:AC224,AC224)-1)</f>
        <v/>
      </c>
    </row>
    <row r="225">
      <c r="AA225">
        <f>IFERROR(INDEX(DailyRouteRecordTable[Route],ROW()-1),"")</f>
        <v/>
      </c>
      <c r="AB225">
        <f>IF(AA225="","",IF(COUNTIF($AA$2:AA225,AA225)&gt;1,0,SUMPRODUCT((DailyRouteRecordTable[Route]=AA225)*(IF($B$6="All",1,IFERROR(--MID(DailyRouteRecordTable[Departure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5">
        <f>IF(AA225="","",IF(COUNTIF($AA$2:AA225,AA225)&gt;1,0,SUMPRODUCT((DailyRouteRecordTable[Route]=AA225)*(IF($B$6="All",1,IFERROR(--MID(DailyRouteRecordTable[Departure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5">
        <f>IF(AB225&lt;=0,"",RANK(AB225,$AB$2:$AB$501,0)+COUNTIFS($AB$2:AB225,AB225)-1)</f>
        <v/>
      </c>
      <c r="AE225">
        <f>IF(AC225&lt;=0,"",RANK(AC225,$AC$2:$AC$501,0)+COUNTIFS($AC$2:AC225,AC225)-1)</f>
        <v/>
      </c>
    </row>
    <row r="226">
      <c r="AA226">
        <f>IFERROR(INDEX(DailyRouteRecordTable[Route],ROW()-1),"")</f>
        <v/>
      </c>
      <c r="AB226">
        <f>IF(AA226="","",IF(COUNTIF($AA$2:AA226,AA226)&gt;1,0,SUMPRODUCT((DailyRouteRecordTable[Route]=AA226)*(IF($B$6="All",1,IFERROR(--MID(DailyRouteRecordTable[Departure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6">
        <f>IF(AA226="","",IF(COUNTIF($AA$2:AA226,AA226)&gt;1,0,SUMPRODUCT((DailyRouteRecordTable[Route]=AA226)*(IF($B$6="All",1,IFERROR(--MID(DailyRouteRecordTable[Departure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6">
        <f>IF(AB226&lt;=0,"",RANK(AB226,$AB$2:$AB$501,0)+COUNTIFS($AB$2:AB226,AB226)-1)</f>
        <v/>
      </c>
      <c r="AE226">
        <f>IF(AC226&lt;=0,"",RANK(AC226,$AC$2:$AC$501,0)+COUNTIFS($AC$2:AC226,AC226)-1)</f>
        <v/>
      </c>
    </row>
    <row r="227">
      <c r="AA227">
        <f>IFERROR(INDEX(DailyRouteRecordTable[Route],ROW()-1),"")</f>
        <v/>
      </c>
      <c r="AB227">
        <f>IF(AA227="","",IF(COUNTIF($AA$2:AA227,AA227)&gt;1,0,SUMPRODUCT((DailyRouteRecordTable[Route]=AA227)*(IF($B$6="All",1,IFERROR(--MID(DailyRouteRecordTable[Departure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7">
        <f>IF(AA227="","",IF(COUNTIF($AA$2:AA227,AA227)&gt;1,0,SUMPRODUCT((DailyRouteRecordTable[Route]=AA227)*(IF($B$6="All",1,IFERROR(--MID(DailyRouteRecordTable[Departure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7">
        <f>IF(AB227&lt;=0,"",RANK(AB227,$AB$2:$AB$501,0)+COUNTIFS($AB$2:AB227,AB227)-1)</f>
        <v/>
      </c>
      <c r="AE227">
        <f>IF(AC227&lt;=0,"",RANK(AC227,$AC$2:$AC$501,0)+COUNTIFS($AC$2:AC227,AC227)-1)</f>
        <v/>
      </c>
    </row>
    <row r="228">
      <c r="AA228">
        <f>IFERROR(INDEX(DailyRouteRecordTable[Route],ROW()-1),"")</f>
        <v/>
      </c>
      <c r="AB228">
        <f>IF(AA228="","",IF(COUNTIF($AA$2:AA228,AA228)&gt;1,0,SUMPRODUCT((DailyRouteRecordTable[Route]=AA228)*(IF($B$6="All",1,IFERROR(--MID(DailyRouteRecordTable[Departure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8">
        <f>IF(AA228="","",IF(COUNTIF($AA$2:AA228,AA228)&gt;1,0,SUMPRODUCT((DailyRouteRecordTable[Route]=AA228)*(IF($B$6="All",1,IFERROR(--MID(DailyRouteRecordTable[Departure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8">
        <f>IF(AB228&lt;=0,"",RANK(AB228,$AB$2:$AB$501,0)+COUNTIFS($AB$2:AB228,AB228)-1)</f>
        <v/>
      </c>
      <c r="AE228">
        <f>IF(AC228&lt;=0,"",RANK(AC228,$AC$2:$AC$501,0)+COUNTIFS($AC$2:AC228,AC228)-1)</f>
        <v/>
      </c>
    </row>
    <row r="229">
      <c r="AA229">
        <f>IFERROR(INDEX(DailyRouteRecordTable[Route],ROW()-1),"")</f>
        <v/>
      </c>
      <c r="AB229">
        <f>IF(AA229="","",IF(COUNTIF($AA$2:AA229,AA229)&gt;1,0,SUMPRODUCT((DailyRouteRecordTable[Route]=AA229)*(IF($B$6="All",1,IFERROR(--MID(DailyRouteRecordTable[Departure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29">
        <f>IF(AA229="","",IF(COUNTIF($AA$2:AA229,AA229)&gt;1,0,SUMPRODUCT((DailyRouteRecordTable[Route]=AA229)*(IF($B$6="All",1,IFERROR(--MID(DailyRouteRecordTable[Departure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29">
        <f>IF(AB229&lt;=0,"",RANK(AB229,$AB$2:$AB$501,0)+COUNTIFS($AB$2:AB229,AB229)-1)</f>
        <v/>
      </c>
      <c r="AE229">
        <f>IF(AC229&lt;=0,"",RANK(AC229,$AC$2:$AC$501,0)+COUNTIFS($AC$2:AC229,AC229)-1)</f>
        <v/>
      </c>
    </row>
    <row r="230">
      <c r="AA230">
        <f>IFERROR(INDEX(DailyRouteRecordTable[Route],ROW()-1),"")</f>
        <v/>
      </c>
      <c r="AB230">
        <f>IF(AA230="","",IF(COUNTIF($AA$2:AA230,AA230)&gt;1,0,SUMPRODUCT((DailyRouteRecordTable[Route]=AA230)*(IF($B$6="All",1,IFERROR(--MID(DailyRouteRecordTable[Departure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0">
        <f>IF(AA230="","",IF(COUNTIF($AA$2:AA230,AA230)&gt;1,0,SUMPRODUCT((DailyRouteRecordTable[Route]=AA230)*(IF($B$6="All",1,IFERROR(--MID(DailyRouteRecordTable[Departure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0">
        <f>IF(AB230&lt;=0,"",RANK(AB230,$AB$2:$AB$501,0)+COUNTIFS($AB$2:AB230,AB230)-1)</f>
        <v/>
      </c>
      <c r="AE230">
        <f>IF(AC230&lt;=0,"",RANK(AC230,$AC$2:$AC$501,0)+COUNTIFS($AC$2:AC230,AC230)-1)</f>
        <v/>
      </c>
    </row>
    <row r="231">
      <c r="AA231">
        <f>IFERROR(INDEX(DailyRouteRecordTable[Route],ROW()-1),"")</f>
        <v/>
      </c>
      <c r="AB231">
        <f>IF(AA231="","",IF(COUNTIF($AA$2:AA231,AA231)&gt;1,0,SUMPRODUCT((DailyRouteRecordTable[Route]=AA231)*(IF($B$6="All",1,IFERROR(--MID(DailyRouteRecordTable[Departure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1">
        <f>IF(AA231="","",IF(COUNTIF($AA$2:AA231,AA231)&gt;1,0,SUMPRODUCT((DailyRouteRecordTable[Route]=AA231)*(IF($B$6="All",1,IFERROR(--MID(DailyRouteRecordTable[Departure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1">
        <f>IF(AB231&lt;=0,"",RANK(AB231,$AB$2:$AB$501,0)+COUNTIFS($AB$2:AB231,AB231)-1)</f>
        <v/>
      </c>
      <c r="AE231">
        <f>IF(AC231&lt;=0,"",RANK(AC231,$AC$2:$AC$501,0)+COUNTIFS($AC$2:AC231,AC231)-1)</f>
        <v/>
      </c>
    </row>
    <row r="232">
      <c r="AA232">
        <f>IFERROR(INDEX(DailyRouteRecordTable[Route],ROW()-1),"")</f>
        <v/>
      </c>
      <c r="AB232">
        <f>IF(AA232="","",IF(COUNTIF($AA$2:AA232,AA232)&gt;1,0,SUMPRODUCT((DailyRouteRecordTable[Route]=AA232)*(IF($B$6="All",1,IFERROR(--MID(DailyRouteRecordTable[Departure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2">
        <f>IF(AA232="","",IF(COUNTIF($AA$2:AA232,AA232)&gt;1,0,SUMPRODUCT((DailyRouteRecordTable[Route]=AA232)*(IF($B$6="All",1,IFERROR(--MID(DailyRouteRecordTable[Departure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2">
        <f>IF(AB232&lt;=0,"",RANK(AB232,$AB$2:$AB$501,0)+COUNTIFS($AB$2:AB232,AB232)-1)</f>
        <v/>
      </c>
      <c r="AE232">
        <f>IF(AC232&lt;=0,"",RANK(AC232,$AC$2:$AC$501,0)+COUNTIFS($AC$2:AC232,AC232)-1)</f>
        <v/>
      </c>
    </row>
    <row r="233">
      <c r="AA233">
        <f>IFERROR(INDEX(DailyRouteRecordTable[Route],ROW()-1),"")</f>
        <v/>
      </c>
      <c r="AB233">
        <f>IF(AA233="","",IF(COUNTIF($AA$2:AA233,AA233)&gt;1,0,SUMPRODUCT((DailyRouteRecordTable[Route]=AA233)*(IF($B$6="All",1,IFERROR(--MID(DailyRouteRecordTable[Departure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3">
        <f>IF(AA233="","",IF(COUNTIF($AA$2:AA233,AA233)&gt;1,0,SUMPRODUCT((DailyRouteRecordTable[Route]=AA233)*(IF($B$6="All",1,IFERROR(--MID(DailyRouteRecordTable[Departure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3">
        <f>IF(AB233&lt;=0,"",RANK(AB233,$AB$2:$AB$501,0)+COUNTIFS($AB$2:AB233,AB233)-1)</f>
        <v/>
      </c>
      <c r="AE233">
        <f>IF(AC233&lt;=0,"",RANK(AC233,$AC$2:$AC$501,0)+COUNTIFS($AC$2:AC233,AC233)-1)</f>
        <v/>
      </c>
    </row>
    <row r="234">
      <c r="AA234">
        <f>IFERROR(INDEX(DailyRouteRecordTable[Route],ROW()-1),"")</f>
        <v/>
      </c>
      <c r="AB234">
        <f>IF(AA234="","",IF(COUNTIF($AA$2:AA234,AA234)&gt;1,0,SUMPRODUCT((DailyRouteRecordTable[Route]=AA234)*(IF($B$6="All",1,IFERROR(--MID(DailyRouteRecordTable[Departure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4">
        <f>IF(AA234="","",IF(COUNTIF($AA$2:AA234,AA234)&gt;1,0,SUMPRODUCT((DailyRouteRecordTable[Route]=AA234)*(IF($B$6="All",1,IFERROR(--MID(DailyRouteRecordTable[Departure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4">
        <f>IF(AB234&lt;=0,"",RANK(AB234,$AB$2:$AB$501,0)+COUNTIFS($AB$2:AB234,AB234)-1)</f>
        <v/>
      </c>
      <c r="AE234">
        <f>IF(AC234&lt;=0,"",RANK(AC234,$AC$2:$AC$501,0)+COUNTIFS($AC$2:AC234,AC234)-1)</f>
        <v/>
      </c>
    </row>
    <row r="235">
      <c r="AA235">
        <f>IFERROR(INDEX(DailyRouteRecordTable[Route],ROW()-1),"")</f>
        <v/>
      </c>
      <c r="AB235">
        <f>IF(AA235="","",IF(COUNTIF($AA$2:AA235,AA235)&gt;1,0,SUMPRODUCT((DailyRouteRecordTable[Route]=AA235)*(IF($B$6="All",1,IFERROR(--MID(DailyRouteRecordTable[Departure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5">
        <f>IF(AA235="","",IF(COUNTIF($AA$2:AA235,AA235)&gt;1,0,SUMPRODUCT((DailyRouteRecordTable[Route]=AA235)*(IF($B$6="All",1,IFERROR(--MID(DailyRouteRecordTable[Departure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5">
        <f>IF(AB235&lt;=0,"",RANK(AB235,$AB$2:$AB$501,0)+COUNTIFS($AB$2:AB235,AB235)-1)</f>
        <v/>
      </c>
      <c r="AE235">
        <f>IF(AC235&lt;=0,"",RANK(AC235,$AC$2:$AC$501,0)+COUNTIFS($AC$2:AC235,AC235)-1)</f>
        <v/>
      </c>
    </row>
    <row r="236">
      <c r="AA236">
        <f>IFERROR(INDEX(DailyRouteRecordTable[Route],ROW()-1),"")</f>
        <v/>
      </c>
      <c r="AB236">
        <f>IF(AA236="","",IF(COUNTIF($AA$2:AA236,AA236)&gt;1,0,SUMPRODUCT((DailyRouteRecordTable[Route]=AA236)*(IF($B$6="All",1,IFERROR(--MID(DailyRouteRecordTable[Departure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6">
        <f>IF(AA236="","",IF(COUNTIF($AA$2:AA236,AA236)&gt;1,0,SUMPRODUCT((DailyRouteRecordTable[Route]=AA236)*(IF($B$6="All",1,IFERROR(--MID(DailyRouteRecordTable[Departure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6">
        <f>IF(AB236&lt;=0,"",RANK(AB236,$AB$2:$AB$501,0)+COUNTIFS($AB$2:AB236,AB236)-1)</f>
        <v/>
      </c>
      <c r="AE236">
        <f>IF(AC236&lt;=0,"",RANK(AC236,$AC$2:$AC$501,0)+COUNTIFS($AC$2:AC236,AC236)-1)</f>
        <v/>
      </c>
    </row>
    <row r="237">
      <c r="AA237">
        <f>IFERROR(INDEX(DailyRouteRecordTable[Route],ROW()-1),"")</f>
        <v/>
      </c>
      <c r="AB237">
        <f>IF(AA237="","",IF(COUNTIF($AA$2:AA237,AA237)&gt;1,0,SUMPRODUCT((DailyRouteRecordTable[Route]=AA237)*(IF($B$6="All",1,IFERROR(--MID(DailyRouteRecordTable[Departure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7">
        <f>IF(AA237="","",IF(COUNTIF($AA$2:AA237,AA237)&gt;1,0,SUMPRODUCT((DailyRouteRecordTable[Route]=AA237)*(IF($B$6="All",1,IFERROR(--MID(DailyRouteRecordTable[Departure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7">
        <f>IF(AB237&lt;=0,"",RANK(AB237,$AB$2:$AB$501,0)+COUNTIFS($AB$2:AB237,AB237)-1)</f>
        <v/>
      </c>
      <c r="AE237">
        <f>IF(AC237&lt;=0,"",RANK(AC237,$AC$2:$AC$501,0)+COUNTIFS($AC$2:AC237,AC237)-1)</f>
        <v/>
      </c>
    </row>
    <row r="238">
      <c r="AA238">
        <f>IFERROR(INDEX(DailyRouteRecordTable[Route],ROW()-1),"")</f>
        <v/>
      </c>
      <c r="AB238">
        <f>IF(AA238="","",IF(COUNTIF($AA$2:AA238,AA238)&gt;1,0,SUMPRODUCT((DailyRouteRecordTable[Route]=AA238)*(IF($B$6="All",1,IFERROR(--MID(DailyRouteRecordTable[Departure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8">
        <f>IF(AA238="","",IF(COUNTIF($AA$2:AA238,AA238)&gt;1,0,SUMPRODUCT((DailyRouteRecordTable[Route]=AA238)*(IF($B$6="All",1,IFERROR(--MID(DailyRouteRecordTable[Departure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8">
        <f>IF(AB238&lt;=0,"",RANK(AB238,$AB$2:$AB$501,0)+COUNTIFS($AB$2:AB238,AB238)-1)</f>
        <v/>
      </c>
      <c r="AE238">
        <f>IF(AC238&lt;=0,"",RANK(AC238,$AC$2:$AC$501,0)+COUNTIFS($AC$2:AC238,AC238)-1)</f>
        <v/>
      </c>
    </row>
    <row r="239">
      <c r="AA239">
        <f>IFERROR(INDEX(DailyRouteRecordTable[Route],ROW()-1),"")</f>
        <v/>
      </c>
      <c r="AB239">
        <f>IF(AA239="","",IF(COUNTIF($AA$2:AA239,AA239)&gt;1,0,SUMPRODUCT((DailyRouteRecordTable[Route]=AA239)*(IF($B$6="All",1,IFERROR(--MID(DailyRouteRecordTable[Departure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39">
        <f>IF(AA239="","",IF(COUNTIF($AA$2:AA239,AA239)&gt;1,0,SUMPRODUCT((DailyRouteRecordTable[Route]=AA239)*(IF($B$6="All",1,IFERROR(--MID(DailyRouteRecordTable[Departure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39">
        <f>IF(AB239&lt;=0,"",RANK(AB239,$AB$2:$AB$501,0)+COUNTIFS($AB$2:AB239,AB239)-1)</f>
        <v/>
      </c>
      <c r="AE239">
        <f>IF(AC239&lt;=0,"",RANK(AC239,$AC$2:$AC$501,0)+COUNTIFS($AC$2:AC239,AC239)-1)</f>
        <v/>
      </c>
    </row>
    <row r="240">
      <c r="AA240">
        <f>IFERROR(INDEX(DailyRouteRecordTable[Route],ROW()-1),"")</f>
        <v/>
      </c>
      <c r="AB240">
        <f>IF(AA240="","",IF(COUNTIF($AA$2:AA240,AA240)&gt;1,0,SUMPRODUCT((DailyRouteRecordTable[Route]=AA240)*(IF($B$6="All",1,IFERROR(--MID(DailyRouteRecordTable[Departure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0">
        <f>IF(AA240="","",IF(COUNTIF($AA$2:AA240,AA240)&gt;1,0,SUMPRODUCT((DailyRouteRecordTable[Route]=AA240)*(IF($B$6="All",1,IFERROR(--MID(DailyRouteRecordTable[Departure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0">
        <f>IF(AB240&lt;=0,"",RANK(AB240,$AB$2:$AB$501,0)+COUNTIFS($AB$2:AB240,AB240)-1)</f>
        <v/>
      </c>
      <c r="AE240">
        <f>IF(AC240&lt;=0,"",RANK(AC240,$AC$2:$AC$501,0)+COUNTIFS($AC$2:AC240,AC240)-1)</f>
        <v/>
      </c>
    </row>
    <row r="241">
      <c r="AA241">
        <f>IFERROR(INDEX(DailyRouteRecordTable[Route],ROW()-1),"")</f>
        <v/>
      </c>
      <c r="AB241">
        <f>IF(AA241="","",IF(COUNTIF($AA$2:AA241,AA241)&gt;1,0,SUMPRODUCT((DailyRouteRecordTable[Route]=AA241)*(IF($B$6="All",1,IFERROR(--MID(DailyRouteRecordTable[Departure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1">
        <f>IF(AA241="","",IF(COUNTIF($AA$2:AA241,AA241)&gt;1,0,SUMPRODUCT((DailyRouteRecordTable[Route]=AA241)*(IF($B$6="All",1,IFERROR(--MID(DailyRouteRecordTable[Departure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1">
        <f>IF(AB241&lt;=0,"",RANK(AB241,$AB$2:$AB$501,0)+COUNTIFS($AB$2:AB241,AB241)-1)</f>
        <v/>
      </c>
      <c r="AE241">
        <f>IF(AC241&lt;=0,"",RANK(AC241,$AC$2:$AC$501,0)+COUNTIFS($AC$2:AC241,AC241)-1)</f>
        <v/>
      </c>
    </row>
    <row r="242">
      <c r="AA242">
        <f>IFERROR(INDEX(DailyRouteRecordTable[Route],ROW()-1),"")</f>
        <v/>
      </c>
      <c r="AB242">
        <f>IF(AA242="","",IF(COUNTIF($AA$2:AA242,AA242)&gt;1,0,SUMPRODUCT((DailyRouteRecordTable[Route]=AA242)*(IF($B$6="All",1,IFERROR(--MID(DailyRouteRecordTable[Departure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2">
        <f>IF(AA242="","",IF(COUNTIF($AA$2:AA242,AA242)&gt;1,0,SUMPRODUCT((DailyRouteRecordTable[Route]=AA242)*(IF($B$6="All",1,IFERROR(--MID(DailyRouteRecordTable[Departure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2">
        <f>IF(AB242&lt;=0,"",RANK(AB242,$AB$2:$AB$501,0)+COUNTIFS($AB$2:AB242,AB242)-1)</f>
        <v/>
      </c>
      <c r="AE242">
        <f>IF(AC242&lt;=0,"",RANK(AC242,$AC$2:$AC$501,0)+COUNTIFS($AC$2:AC242,AC242)-1)</f>
        <v/>
      </c>
    </row>
    <row r="243">
      <c r="AA243">
        <f>IFERROR(INDEX(DailyRouteRecordTable[Route],ROW()-1),"")</f>
        <v/>
      </c>
      <c r="AB243">
        <f>IF(AA243="","",IF(COUNTIF($AA$2:AA243,AA243)&gt;1,0,SUMPRODUCT((DailyRouteRecordTable[Route]=AA243)*(IF($B$6="All",1,IFERROR(--MID(DailyRouteRecordTable[Departure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3">
        <f>IF(AA243="","",IF(COUNTIF($AA$2:AA243,AA243)&gt;1,0,SUMPRODUCT((DailyRouteRecordTable[Route]=AA243)*(IF($B$6="All",1,IFERROR(--MID(DailyRouteRecordTable[Departure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3">
        <f>IF(AB243&lt;=0,"",RANK(AB243,$AB$2:$AB$501,0)+COUNTIFS($AB$2:AB243,AB243)-1)</f>
        <v/>
      </c>
      <c r="AE243">
        <f>IF(AC243&lt;=0,"",RANK(AC243,$AC$2:$AC$501,0)+COUNTIFS($AC$2:AC243,AC243)-1)</f>
        <v/>
      </c>
    </row>
    <row r="244">
      <c r="AA244">
        <f>IFERROR(INDEX(DailyRouteRecordTable[Route],ROW()-1),"")</f>
        <v/>
      </c>
      <c r="AB244">
        <f>IF(AA244="","",IF(COUNTIF($AA$2:AA244,AA244)&gt;1,0,SUMPRODUCT((DailyRouteRecordTable[Route]=AA244)*(IF($B$6="All",1,IFERROR(--MID(DailyRouteRecordTable[Departure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4">
        <f>IF(AA244="","",IF(COUNTIF($AA$2:AA244,AA244)&gt;1,0,SUMPRODUCT((DailyRouteRecordTable[Route]=AA244)*(IF($B$6="All",1,IFERROR(--MID(DailyRouteRecordTable[Departure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4">
        <f>IF(AB244&lt;=0,"",RANK(AB244,$AB$2:$AB$501,0)+COUNTIFS($AB$2:AB244,AB244)-1)</f>
        <v/>
      </c>
      <c r="AE244">
        <f>IF(AC244&lt;=0,"",RANK(AC244,$AC$2:$AC$501,0)+COUNTIFS($AC$2:AC244,AC244)-1)</f>
        <v/>
      </c>
    </row>
    <row r="245">
      <c r="AA245">
        <f>IFERROR(INDEX(DailyRouteRecordTable[Route],ROW()-1),"")</f>
        <v/>
      </c>
      <c r="AB245">
        <f>IF(AA245="","",IF(COUNTIF($AA$2:AA245,AA245)&gt;1,0,SUMPRODUCT((DailyRouteRecordTable[Route]=AA245)*(IF($B$6="All",1,IFERROR(--MID(DailyRouteRecordTable[Departure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5">
        <f>IF(AA245="","",IF(COUNTIF($AA$2:AA245,AA245)&gt;1,0,SUMPRODUCT((DailyRouteRecordTable[Route]=AA245)*(IF($B$6="All",1,IFERROR(--MID(DailyRouteRecordTable[Departure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5">
        <f>IF(AB245&lt;=0,"",RANK(AB245,$AB$2:$AB$501,0)+COUNTIFS($AB$2:AB245,AB245)-1)</f>
        <v/>
      </c>
      <c r="AE245">
        <f>IF(AC245&lt;=0,"",RANK(AC245,$AC$2:$AC$501,0)+COUNTIFS($AC$2:AC245,AC245)-1)</f>
        <v/>
      </c>
    </row>
    <row r="246">
      <c r="AA246">
        <f>IFERROR(INDEX(DailyRouteRecordTable[Route],ROW()-1),"")</f>
        <v/>
      </c>
      <c r="AB246">
        <f>IF(AA246="","",IF(COUNTIF($AA$2:AA246,AA246)&gt;1,0,SUMPRODUCT((DailyRouteRecordTable[Route]=AA246)*(IF($B$6="All",1,IFERROR(--MID(DailyRouteRecordTable[Departure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6">
        <f>IF(AA246="","",IF(COUNTIF($AA$2:AA246,AA246)&gt;1,0,SUMPRODUCT((DailyRouteRecordTable[Route]=AA246)*(IF($B$6="All",1,IFERROR(--MID(DailyRouteRecordTable[Departure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6">
        <f>IF(AB246&lt;=0,"",RANK(AB246,$AB$2:$AB$501,0)+COUNTIFS($AB$2:AB246,AB246)-1)</f>
        <v/>
      </c>
      <c r="AE246">
        <f>IF(AC246&lt;=0,"",RANK(AC246,$AC$2:$AC$501,0)+COUNTIFS($AC$2:AC246,AC246)-1)</f>
        <v/>
      </c>
    </row>
    <row r="247">
      <c r="AA247">
        <f>IFERROR(INDEX(DailyRouteRecordTable[Route],ROW()-1),"")</f>
        <v/>
      </c>
      <c r="AB247">
        <f>IF(AA247="","",IF(COUNTIF($AA$2:AA247,AA247)&gt;1,0,SUMPRODUCT((DailyRouteRecordTable[Route]=AA247)*(IF($B$6="All",1,IFERROR(--MID(DailyRouteRecordTable[Departure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7">
        <f>IF(AA247="","",IF(COUNTIF($AA$2:AA247,AA247)&gt;1,0,SUMPRODUCT((DailyRouteRecordTable[Route]=AA247)*(IF($B$6="All",1,IFERROR(--MID(DailyRouteRecordTable[Departure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7">
        <f>IF(AB247&lt;=0,"",RANK(AB247,$AB$2:$AB$501,0)+COUNTIFS($AB$2:AB247,AB247)-1)</f>
        <v/>
      </c>
      <c r="AE247">
        <f>IF(AC247&lt;=0,"",RANK(AC247,$AC$2:$AC$501,0)+COUNTIFS($AC$2:AC247,AC247)-1)</f>
        <v/>
      </c>
    </row>
    <row r="248">
      <c r="AA248">
        <f>IFERROR(INDEX(DailyRouteRecordTable[Route],ROW()-1),"")</f>
        <v/>
      </c>
      <c r="AB248">
        <f>IF(AA248="","",IF(COUNTIF($AA$2:AA248,AA248)&gt;1,0,SUMPRODUCT((DailyRouteRecordTable[Route]=AA248)*(IF($B$6="All",1,IFERROR(--MID(DailyRouteRecordTable[Departure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8">
        <f>IF(AA248="","",IF(COUNTIF($AA$2:AA248,AA248)&gt;1,0,SUMPRODUCT((DailyRouteRecordTable[Route]=AA248)*(IF($B$6="All",1,IFERROR(--MID(DailyRouteRecordTable[Departure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8">
        <f>IF(AB248&lt;=0,"",RANK(AB248,$AB$2:$AB$501,0)+COUNTIFS($AB$2:AB248,AB248)-1)</f>
        <v/>
      </c>
      <c r="AE248">
        <f>IF(AC248&lt;=0,"",RANK(AC248,$AC$2:$AC$501,0)+COUNTIFS($AC$2:AC248,AC248)-1)</f>
        <v/>
      </c>
    </row>
    <row r="249">
      <c r="AA249">
        <f>IFERROR(INDEX(DailyRouteRecordTable[Route],ROW()-1),"")</f>
        <v/>
      </c>
      <c r="AB249">
        <f>IF(AA249="","",IF(COUNTIF($AA$2:AA249,AA249)&gt;1,0,SUMPRODUCT((DailyRouteRecordTable[Route]=AA249)*(IF($B$6="All",1,IFERROR(--MID(DailyRouteRecordTable[Departure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49">
        <f>IF(AA249="","",IF(COUNTIF($AA$2:AA249,AA249)&gt;1,0,SUMPRODUCT((DailyRouteRecordTable[Route]=AA249)*(IF($B$6="All",1,IFERROR(--MID(DailyRouteRecordTable[Departure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49">
        <f>IF(AB249&lt;=0,"",RANK(AB249,$AB$2:$AB$501,0)+COUNTIFS($AB$2:AB249,AB249)-1)</f>
        <v/>
      </c>
      <c r="AE249">
        <f>IF(AC249&lt;=0,"",RANK(AC249,$AC$2:$AC$501,0)+COUNTIFS($AC$2:AC249,AC249)-1)</f>
        <v/>
      </c>
    </row>
    <row r="250">
      <c r="AA250">
        <f>IFERROR(INDEX(DailyRouteRecordTable[Route],ROW()-1),"")</f>
        <v/>
      </c>
      <c r="AB250">
        <f>IF(AA250="","",IF(COUNTIF($AA$2:AA250,AA250)&gt;1,0,SUMPRODUCT((DailyRouteRecordTable[Route]=AA250)*(IF($B$6="All",1,IFERROR(--MID(DailyRouteRecordTable[Departure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0">
        <f>IF(AA250="","",IF(COUNTIF($AA$2:AA250,AA250)&gt;1,0,SUMPRODUCT((DailyRouteRecordTable[Route]=AA250)*(IF($B$6="All",1,IFERROR(--MID(DailyRouteRecordTable[Departure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0">
        <f>IF(AB250&lt;=0,"",RANK(AB250,$AB$2:$AB$501,0)+COUNTIFS($AB$2:AB250,AB250)-1)</f>
        <v/>
      </c>
      <c r="AE250">
        <f>IF(AC250&lt;=0,"",RANK(AC250,$AC$2:$AC$501,0)+COUNTIFS($AC$2:AC250,AC250)-1)</f>
        <v/>
      </c>
    </row>
    <row r="251">
      <c r="AA251">
        <f>IFERROR(INDEX(DailyRouteRecordTable[Route],ROW()-1),"")</f>
        <v/>
      </c>
      <c r="AB251">
        <f>IF(AA251="","",IF(COUNTIF($AA$2:AA251,AA251)&gt;1,0,SUMPRODUCT((DailyRouteRecordTable[Route]=AA251)*(IF($B$6="All",1,IFERROR(--MID(DailyRouteRecordTable[Departure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1">
        <f>IF(AA251="","",IF(COUNTIF($AA$2:AA251,AA251)&gt;1,0,SUMPRODUCT((DailyRouteRecordTable[Route]=AA251)*(IF($B$6="All",1,IFERROR(--MID(DailyRouteRecordTable[Departure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1">
        <f>IF(AB251&lt;=0,"",RANK(AB251,$AB$2:$AB$501,0)+COUNTIFS($AB$2:AB251,AB251)-1)</f>
        <v/>
      </c>
      <c r="AE251">
        <f>IF(AC251&lt;=0,"",RANK(AC251,$AC$2:$AC$501,0)+COUNTIFS($AC$2:AC251,AC251)-1)</f>
        <v/>
      </c>
    </row>
    <row r="252">
      <c r="AA252">
        <f>IFERROR(INDEX(DailyRouteRecordTable[Route],ROW()-1),"")</f>
        <v/>
      </c>
      <c r="AB252">
        <f>IF(AA252="","",IF(COUNTIF($AA$2:AA252,AA252)&gt;1,0,SUMPRODUCT((DailyRouteRecordTable[Route]=AA252)*(IF($B$6="All",1,IFERROR(--MID(DailyRouteRecordTable[Departure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2">
        <f>IF(AA252="","",IF(COUNTIF($AA$2:AA252,AA252)&gt;1,0,SUMPRODUCT((DailyRouteRecordTable[Route]=AA252)*(IF($B$6="All",1,IFERROR(--MID(DailyRouteRecordTable[Departure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2">
        <f>IF(AB252&lt;=0,"",RANK(AB252,$AB$2:$AB$501,0)+COUNTIFS($AB$2:AB252,AB252)-1)</f>
        <v/>
      </c>
      <c r="AE252">
        <f>IF(AC252&lt;=0,"",RANK(AC252,$AC$2:$AC$501,0)+COUNTIFS($AC$2:AC252,AC252)-1)</f>
        <v/>
      </c>
    </row>
    <row r="253">
      <c r="AA253">
        <f>IFERROR(INDEX(DailyRouteRecordTable[Route],ROW()-1),"")</f>
        <v/>
      </c>
      <c r="AB253">
        <f>IF(AA253="","",IF(COUNTIF($AA$2:AA253,AA253)&gt;1,0,SUMPRODUCT((DailyRouteRecordTable[Route]=AA253)*(IF($B$6="All",1,IFERROR(--MID(DailyRouteRecordTable[Departure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3">
        <f>IF(AA253="","",IF(COUNTIF($AA$2:AA253,AA253)&gt;1,0,SUMPRODUCT((DailyRouteRecordTable[Route]=AA253)*(IF($B$6="All",1,IFERROR(--MID(DailyRouteRecordTable[Departure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3">
        <f>IF(AB253&lt;=0,"",RANK(AB253,$AB$2:$AB$501,0)+COUNTIFS($AB$2:AB253,AB253)-1)</f>
        <v/>
      </c>
      <c r="AE253">
        <f>IF(AC253&lt;=0,"",RANK(AC253,$AC$2:$AC$501,0)+COUNTIFS($AC$2:AC253,AC253)-1)</f>
        <v/>
      </c>
    </row>
    <row r="254">
      <c r="AA254">
        <f>IFERROR(INDEX(DailyRouteRecordTable[Route],ROW()-1),"")</f>
        <v/>
      </c>
      <c r="AB254">
        <f>IF(AA254="","",IF(COUNTIF($AA$2:AA254,AA254)&gt;1,0,SUMPRODUCT((DailyRouteRecordTable[Route]=AA254)*(IF($B$6="All",1,IFERROR(--MID(DailyRouteRecordTable[Departure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4">
        <f>IF(AA254="","",IF(COUNTIF($AA$2:AA254,AA254)&gt;1,0,SUMPRODUCT((DailyRouteRecordTable[Route]=AA254)*(IF($B$6="All",1,IFERROR(--MID(DailyRouteRecordTable[Departure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4">
        <f>IF(AB254&lt;=0,"",RANK(AB254,$AB$2:$AB$501,0)+COUNTIFS($AB$2:AB254,AB254)-1)</f>
        <v/>
      </c>
      <c r="AE254">
        <f>IF(AC254&lt;=0,"",RANK(AC254,$AC$2:$AC$501,0)+COUNTIFS($AC$2:AC254,AC254)-1)</f>
        <v/>
      </c>
    </row>
    <row r="255">
      <c r="AA255">
        <f>IFERROR(INDEX(DailyRouteRecordTable[Route],ROW()-1),"")</f>
        <v/>
      </c>
      <c r="AB255">
        <f>IF(AA255="","",IF(COUNTIF($AA$2:AA255,AA255)&gt;1,0,SUMPRODUCT((DailyRouteRecordTable[Route]=AA255)*(IF($B$6="All",1,IFERROR(--MID(DailyRouteRecordTable[Departure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5">
        <f>IF(AA255="","",IF(COUNTIF($AA$2:AA255,AA255)&gt;1,0,SUMPRODUCT((DailyRouteRecordTable[Route]=AA255)*(IF($B$6="All",1,IFERROR(--MID(DailyRouteRecordTable[Departure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5">
        <f>IF(AB255&lt;=0,"",RANK(AB255,$AB$2:$AB$501,0)+COUNTIFS($AB$2:AB255,AB255)-1)</f>
        <v/>
      </c>
      <c r="AE255">
        <f>IF(AC255&lt;=0,"",RANK(AC255,$AC$2:$AC$501,0)+COUNTIFS($AC$2:AC255,AC255)-1)</f>
        <v/>
      </c>
    </row>
    <row r="256">
      <c r="AA256">
        <f>IFERROR(INDEX(DailyRouteRecordTable[Route],ROW()-1),"")</f>
        <v/>
      </c>
      <c r="AB256">
        <f>IF(AA256="","",IF(COUNTIF($AA$2:AA256,AA256)&gt;1,0,SUMPRODUCT((DailyRouteRecordTable[Route]=AA256)*(IF($B$6="All",1,IFERROR(--MID(DailyRouteRecordTable[Departure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6">
        <f>IF(AA256="","",IF(COUNTIF($AA$2:AA256,AA256)&gt;1,0,SUMPRODUCT((DailyRouteRecordTable[Route]=AA256)*(IF($B$6="All",1,IFERROR(--MID(DailyRouteRecordTable[Departure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6">
        <f>IF(AB256&lt;=0,"",RANK(AB256,$AB$2:$AB$501,0)+COUNTIFS($AB$2:AB256,AB256)-1)</f>
        <v/>
      </c>
      <c r="AE256">
        <f>IF(AC256&lt;=0,"",RANK(AC256,$AC$2:$AC$501,0)+COUNTIFS($AC$2:AC256,AC256)-1)</f>
        <v/>
      </c>
    </row>
    <row r="257">
      <c r="AA257">
        <f>IFERROR(INDEX(DailyRouteRecordTable[Route],ROW()-1),"")</f>
        <v/>
      </c>
      <c r="AB257">
        <f>IF(AA257="","",IF(COUNTIF($AA$2:AA257,AA257)&gt;1,0,SUMPRODUCT((DailyRouteRecordTable[Route]=AA257)*(IF($B$6="All",1,IFERROR(--MID(DailyRouteRecordTable[Departure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7">
        <f>IF(AA257="","",IF(COUNTIF($AA$2:AA257,AA257)&gt;1,0,SUMPRODUCT((DailyRouteRecordTable[Route]=AA257)*(IF($B$6="All",1,IFERROR(--MID(DailyRouteRecordTable[Departure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7">
        <f>IF(AB257&lt;=0,"",RANK(AB257,$AB$2:$AB$501,0)+COUNTIFS($AB$2:AB257,AB257)-1)</f>
        <v/>
      </c>
      <c r="AE257">
        <f>IF(AC257&lt;=0,"",RANK(AC257,$AC$2:$AC$501,0)+COUNTIFS($AC$2:AC257,AC257)-1)</f>
        <v/>
      </c>
    </row>
    <row r="258">
      <c r="AA258">
        <f>IFERROR(INDEX(DailyRouteRecordTable[Route],ROW()-1),"")</f>
        <v/>
      </c>
      <c r="AB258">
        <f>IF(AA258="","",IF(COUNTIF($AA$2:AA258,AA258)&gt;1,0,SUMPRODUCT((DailyRouteRecordTable[Route]=AA258)*(IF($B$6="All",1,IFERROR(--MID(DailyRouteRecordTable[Departure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8">
        <f>IF(AA258="","",IF(COUNTIF($AA$2:AA258,AA258)&gt;1,0,SUMPRODUCT((DailyRouteRecordTable[Route]=AA258)*(IF($B$6="All",1,IFERROR(--MID(DailyRouteRecordTable[Departure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8">
        <f>IF(AB258&lt;=0,"",RANK(AB258,$AB$2:$AB$501,0)+COUNTIFS($AB$2:AB258,AB258)-1)</f>
        <v/>
      </c>
      <c r="AE258">
        <f>IF(AC258&lt;=0,"",RANK(AC258,$AC$2:$AC$501,0)+COUNTIFS($AC$2:AC258,AC258)-1)</f>
        <v/>
      </c>
    </row>
    <row r="259">
      <c r="AA259">
        <f>IFERROR(INDEX(DailyRouteRecordTable[Route],ROW()-1),"")</f>
        <v/>
      </c>
      <c r="AB259">
        <f>IF(AA259="","",IF(COUNTIF($AA$2:AA259,AA259)&gt;1,0,SUMPRODUCT((DailyRouteRecordTable[Route]=AA259)*(IF($B$6="All",1,IFERROR(--MID(DailyRouteRecordTable[Departure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59">
        <f>IF(AA259="","",IF(COUNTIF($AA$2:AA259,AA259)&gt;1,0,SUMPRODUCT((DailyRouteRecordTable[Route]=AA259)*(IF($B$6="All",1,IFERROR(--MID(DailyRouteRecordTable[Departure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59">
        <f>IF(AB259&lt;=0,"",RANK(AB259,$AB$2:$AB$501,0)+COUNTIFS($AB$2:AB259,AB259)-1)</f>
        <v/>
      </c>
      <c r="AE259">
        <f>IF(AC259&lt;=0,"",RANK(AC259,$AC$2:$AC$501,0)+COUNTIFS($AC$2:AC259,AC259)-1)</f>
        <v/>
      </c>
    </row>
    <row r="260">
      <c r="AA260">
        <f>IFERROR(INDEX(DailyRouteRecordTable[Route],ROW()-1),"")</f>
        <v/>
      </c>
      <c r="AB260">
        <f>IF(AA260="","",IF(COUNTIF($AA$2:AA260,AA260)&gt;1,0,SUMPRODUCT((DailyRouteRecordTable[Route]=AA260)*(IF($B$6="All",1,IFERROR(--MID(DailyRouteRecordTable[Departure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0">
        <f>IF(AA260="","",IF(COUNTIF($AA$2:AA260,AA260)&gt;1,0,SUMPRODUCT((DailyRouteRecordTable[Route]=AA260)*(IF($B$6="All",1,IFERROR(--MID(DailyRouteRecordTable[Departure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0">
        <f>IF(AB260&lt;=0,"",RANK(AB260,$AB$2:$AB$501,0)+COUNTIFS($AB$2:AB260,AB260)-1)</f>
        <v/>
      </c>
      <c r="AE260">
        <f>IF(AC260&lt;=0,"",RANK(AC260,$AC$2:$AC$501,0)+COUNTIFS($AC$2:AC260,AC260)-1)</f>
        <v/>
      </c>
    </row>
    <row r="261">
      <c r="AA261">
        <f>IFERROR(INDEX(DailyRouteRecordTable[Route],ROW()-1),"")</f>
        <v/>
      </c>
      <c r="AB261">
        <f>IF(AA261="","",IF(COUNTIF($AA$2:AA261,AA261)&gt;1,0,SUMPRODUCT((DailyRouteRecordTable[Route]=AA261)*(IF($B$6="All",1,IFERROR(--MID(DailyRouteRecordTable[Departure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1">
        <f>IF(AA261="","",IF(COUNTIF($AA$2:AA261,AA261)&gt;1,0,SUMPRODUCT((DailyRouteRecordTable[Route]=AA261)*(IF($B$6="All",1,IFERROR(--MID(DailyRouteRecordTable[Departure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1">
        <f>IF(AB261&lt;=0,"",RANK(AB261,$AB$2:$AB$501,0)+COUNTIFS($AB$2:AB261,AB261)-1)</f>
        <v/>
      </c>
      <c r="AE261">
        <f>IF(AC261&lt;=0,"",RANK(AC261,$AC$2:$AC$501,0)+COUNTIFS($AC$2:AC261,AC261)-1)</f>
        <v/>
      </c>
    </row>
    <row r="262">
      <c r="AA262">
        <f>IFERROR(INDEX(DailyRouteRecordTable[Route],ROW()-1),"")</f>
        <v/>
      </c>
      <c r="AB262">
        <f>IF(AA262="","",IF(COUNTIF($AA$2:AA262,AA262)&gt;1,0,SUMPRODUCT((DailyRouteRecordTable[Route]=AA262)*(IF($B$6="All",1,IFERROR(--MID(DailyRouteRecordTable[Departure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2">
        <f>IF(AA262="","",IF(COUNTIF($AA$2:AA262,AA262)&gt;1,0,SUMPRODUCT((DailyRouteRecordTable[Route]=AA262)*(IF($B$6="All",1,IFERROR(--MID(DailyRouteRecordTable[Departure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2">
        <f>IF(AB262&lt;=0,"",RANK(AB262,$AB$2:$AB$501,0)+COUNTIFS($AB$2:AB262,AB262)-1)</f>
        <v/>
      </c>
      <c r="AE262">
        <f>IF(AC262&lt;=0,"",RANK(AC262,$AC$2:$AC$501,0)+COUNTIFS($AC$2:AC262,AC262)-1)</f>
        <v/>
      </c>
    </row>
    <row r="263">
      <c r="AA263">
        <f>IFERROR(INDEX(DailyRouteRecordTable[Route],ROW()-1),"")</f>
        <v/>
      </c>
      <c r="AB263">
        <f>IF(AA263="","",IF(COUNTIF($AA$2:AA263,AA263)&gt;1,0,SUMPRODUCT((DailyRouteRecordTable[Route]=AA263)*(IF($B$6="All",1,IFERROR(--MID(DailyRouteRecordTable[Departure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3">
        <f>IF(AA263="","",IF(COUNTIF($AA$2:AA263,AA263)&gt;1,0,SUMPRODUCT((DailyRouteRecordTable[Route]=AA263)*(IF($B$6="All",1,IFERROR(--MID(DailyRouteRecordTable[Departure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3">
        <f>IF(AB263&lt;=0,"",RANK(AB263,$AB$2:$AB$501,0)+COUNTIFS($AB$2:AB263,AB263)-1)</f>
        <v/>
      </c>
      <c r="AE263">
        <f>IF(AC263&lt;=0,"",RANK(AC263,$AC$2:$AC$501,0)+COUNTIFS($AC$2:AC263,AC263)-1)</f>
        <v/>
      </c>
    </row>
    <row r="264">
      <c r="AA264">
        <f>IFERROR(INDEX(DailyRouteRecordTable[Route],ROW()-1),"")</f>
        <v/>
      </c>
      <c r="AB264">
        <f>IF(AA264="","",IF(COUNTIF($AA$2:AA264,AA264)&gt;1,0,SUMPRODUCT((DailyRouteRecordTable[Route]=AA264)*(IF($B$6="All",1,IFERROR(--MID(DailyRouteRecordTable[Departure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4">
        <f>IF(AA264="","",IF(COUNTIF($AA$2:AA264,AA264)&gt;1,0,SUMPRODUCT((DailyRouteRecordTable[Route]=AA264)*(IF($B$6="All",1,IFERROR(--MID(DailyRouteRecordTable[Departure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4">
        <f>IF(AB264&lt;=0,"",RANK(AB264,$AB$2:$AB$501,0)+COUNTIFS($AB$2:AB264,AB264)-1)</f>
        <v/>
      </c>
      <c r="AE264">
        <f>IF(AC264&lt;=0,"",RANK(AC264,$AC$2:$AC$501,0)+COUNTIFS($AC$2:AC264,AC264)-1)</f>
        <v/>
      </c>
    </row>
    <row r="265">
      <c r="AA265">
        <f>IFERROR(INDEX(DailyRouteRecordTable[Route],ROW()-1),"")</f>
        <v/>
      </c>
      <c r="AB265">
        <f>IF(AA265="","",IF(COUNTIF($AA$2:AA265,AA265)&gt;1,0,SUMPRODUCT((DailyRouteRecordTable[Route]=AA265)*(IF($B$6="All",1,IFERROR(--MID(DailyRouteRecordTable[Departure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5">
        <f>IF(AA265="","",IF(COUNTIF($AA$2:AA265,AA265)&gt;1,0,SUMPRODUCT((DailyRouteRecordTable[Route]=AA265)*(IF($B$6="All",1,IFERROR(--MID(DailyRouteRecordTable[Departure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5">
        <f>IF(AB265&lt;=0,"",RANK(AB265,$AB$2:$AB$501,0)+COUNTIFS($AB$2:AB265,AB265)-1)</f>
        <v/>
      </c>
      <c r="AE265">
        <f>IF(AC265&lt;=0,"",RANK(AC265,$AC$2:$AC$501,0)+COUNTIFS($AC$2:AC265,AC265)-1)</f>
        <v/>
      </c>
    </row>
    <row r="266">
      <c r="AA266">
        <f>IFERROR(INDEX(DailyRouteRecordTable[Route],ROW()-1),"")</f>
        <v/>
      </c>
      <c r="AB266">
        <f>IF(AA266="","",IF(COUNTIF($AA$2:AA266,AA266)&gt;1,0,SUMPRODUCT((DailyRouteRecordTable[Route]=AA266)*(IF($B$6="All",1,IFERROR(--MID(DailyRouteRecordTable[Departure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6">
        <f>IF(AA266="","",IF(COUNTIF($AA$2:AA266,AA266)&gt;1,0,SUMPRODUCT((DailyRouteRecordTable[Route]=AA266)*(IF($B$6="All",1,IFERROR(--MID(DailyRouteRecordTable[Departure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6">
        <f>IF(AB266&lt;=0,"",RANK(AB266,$AB$2:$AB$501,0)+COUNTIFS($AB$2:AB266,AB266)-1)</f>
        <v/>
      </c>
      <c r="AE266">
        <f>IF(AC266&lt;=0,"",RANK(AC266,$AC$2:$AC$501,0)+COUNTIFS($AC$2:AC266,AC266)-1)</f>
        <v/>
      </c>
    </row>
    <row r="267">
      <c r="AA267">
        <f>IFERROR(INDEX(DailyRouteRecordTable[Route],ROW()-1),"")</f>
        <v/>
      </c>
      <c r="AB267">
        <f>IF(AA267="","",IF(COUNTIF($AA$2:AA267,AA267)&gt;1,0,SUMPRODUCT((DailyRouteRecordTable[Route]=AA267)*(IF($B$6="All",1,IFERROR(--MID(DailyRouteRecordTable[Departure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7">
        <f>IF(AA267="","",IF(COUNTIF($AA$2:AA267,AA267)&gt;1,0,SUMPRODUCT((DailyRouteRecordTable[Route]=AA267)*(IF($B$6="All",1,IFERROR(--MID(DailyRouteRecordTable[Departure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7">
        <f>IF(AB267&lt;=0,"",RANK(AB267,$AB$2:$AB$501,0)+COUNTIFS($AB$2:AB267,AB267)-1)</f>
        <v/>
      </c>
      <c r="AE267">
        <f>IF(AC267&lt;=0,"",RANK(AC267,$AC$2:$AC$501,0)+COUNTIFS($AC$2:AC267,AC267)-1)</f>
        <v/>
      </c>
    </row>
    <row r="268">
      <c r="AA268">
        <f>IFERROR(INDEX(DailyRouteRecordTable[Route],ROW()-1),"")</f>
        <v/>
      </c>
      <c r="AB268">
        <f>IF(AA268="","",IF(COUNTIF($AA$2:AA268,AA268)&gt;1,0,SUMPRODUCT((DailyRouteRecordTable[Route]=AA268)*(IF($B$6="All",1,IFERROR(--MID(DailyRouteRecordTable[Departure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8">
        <f>IF(AA268="","",IF(COUNTIF($AA$2:AA268,AA268)&gt;1,0,SUMPRODUCT((DailyRouteRecordTable[Route]=AA268)*(IF($B$6="All",1,IFERROR(--MID(DailyRouteRecordTable[Departure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8">
        <f>IF(AB268&lt;=0,"",RANK(AB268,$AB$2:$AB$501,0)+COUNTIFS($AB$2:AB268,AB268)-1)</f>
        <v/>
      </c>
      <c r="AE268">
        <f>IF(AC268&lt;=0,"",RANK(AC268,$AC$2:$AC$501,0)+COUNTIFS($AC$2:AC268,AC268)-1)</f>
        <v/>
      </c>
    </row>
    <row r="269">
      <c r="AA269">
        <f>IFERROR(INDEX(DailyRouteRecordTable[Route],ROW()-1),"")</f>
        <v/>
      </c>
      <c r="AB269">
        <f>IF(AA269="","",IF(COUNTIF($AA$2:AA269,AA269)&gt;1,0,SUMPRODUCT((DailyRouteRecordTable[Route]=AA269)*(IF($B$6="All",1,IFERROR(--MID(DailyRouteRecordTable[Departure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69">
        <f>IF(AA269="","",IF(COUNTIF($AA$2:AA269,AA269)&gt;1,0,SUMPRODUCT((DailyRouteRecordTable[Route]=AA269)*(IF($B$6="All",1,IFERROR(--MID(DailyRouteRecordTable[Departure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69">
        <f>IF(AB269&lt;=0,"",RANK(AB269,$AB$2:$AB$501,0)+COUNTIFS($AB$2:AB269,AB269)-1)</f>
        <v/>
      </c>
      <c r="AE269">
        <f>IF(AC269&lt;=0,"",RANK(AC269,$AC$2:$AC$501,0)+COUNTIFS($AC$2:AC269,AC269)-1)</f>
        <v/>
      </c>
    </row>
    <row r="270">
      <c r="AA270">
        <f>IFERROR(INDEX(DailyRouteRecordTable[Route],ROW()-1),"")</f>
        <v/>
      </c>
      <c r="AB270">
        <f>IF(AA270="","",IF(COUNTIF($AA$2:AA270,AA270)&gt;1,0,SUMPRODUCT((DailyRouteRecordTable[Route]=AA270)*(IF($B$6="All",1,IFERROR(--MID(DailyRouteRecordTable[Departure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0">
        <f>IF(AA270="","",IF(COUNTIF($AA$2:AA270,AA270)&gt;1,0,SUMPRODUCT((DailyRouteRecordTable[Route]=AA270)*(IF($B$6="All",1,IFERROR(--MID(DailyRouteRecordTable[Departure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0">
        <f>IF(AB270&lt;=0,"",RANK(AB270,$AB$2:$AB$501,0)+COUNTIFS($AB$2:AB270,AB270)-1)</f>
        <v/>
      </c>
      <c r="AE270">
        <f>IF(AC270&lt;=0,"",RANK(AC270,$AC$2:$AC$501,0)+COUNTIFS($AC$2:AC270,AC270)-1)</f>
        <v/>
      </c>
    </row>
    <row r="271">
      <c r="AA271">
        <f>IFERROR(INDEX(DailyRouteRecordTable[Route],ROW()-1),"")</f>
        <v/>
      </c>
      <c r="AB271">
        <f>IF(AA271="","",IF(COUNTIF($AA$2:AA271,AA271)&gt;1,0,SUMPRODUCT((DailyRouteRecordTable[Route]=AA271)*(IF($B$6="All",1,IFERROR(--MID(DailyRouteRecordTable[Departure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1">
        <f>IF(AA271="","",IF(COUNTIF($AA$2:AA271,AA271)&gt;1,0,SUMPRODUCT((DailyRouteRecordTable[Route]=AA271)*(IF($B$6="All",1,IFERROR(--MID(DailyRouteRecordTable[Departure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1">
        <f>IF(AB271&lt;=0,"",RANK(AB271,$AB$2:$AB$501,0)+COUNTIFS($AB$2:AB271,AB271)-1)</f>
        <v/>
      </c>
      <c r="AE271">
        <f>IF(AC271&lt;=0,"",RANK(AC271,$AC$2:$AC$501,0)+COUNTIFS($AC$2:AC271,AC271)-1)</f>
        <v/>
      </c>
    </row>
    <row r="272">
      <c r="AA272">
        <f>IFERROR(INDEX(DailyRouteRecordTable[Route],ROW()-1),"")</f>
        <v/>
      </c>
      <c r="AB272">
        <f>IF(AA272="","",IF(COUNTIF($AA$2:AA272,AA272)&gt;1,0,SUMPRODUCT((DailyRouteRecordTable[Route]=AA272)*(IF($B$6="All",1,IFERROR(--MID(DailyRouteRecordTable[Departure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2">
        <f>IF(AA272="","",IF(COUNTIF($AA$2:AA272,AA272)&gt;1,0,SUMPRODUCT((DailyRouteRecordTable[Route]=AA272)*(IF($B$6="All",1,IFERROR(--MID(DailyRouteRecordTable[Departure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2">
        <f>IF(AB272&lt;=0,"",RANK(AB272,$AB$2:$AB$501,0)+COUNTIFS($AB$2:AB272,AB272)-1)</f>
        <v/>
      </c>
      <c r="AE272">
        <f>IF(AC272&lt;=0,"",RANK(AC272,$AC$2:$AC$501,0)+COUNTIFS($AC$2:AC272,AC272)-1)</f>
        <v/>
      </c>
    </row>
    <row r="273">
      <c r="AA273">
        <f>IFERROR(INDEX(DailyRouteRecordTable[Route],ROW()-1),"")</f>
        <v/>
      </c>
      <c r="AB273">
        <f>IF(AA273="","",IF(COUNTIF($AA$2:AA273,AA273)&gt;1,0,SUMPRODUCT((DailyRouteRecordTable[Route]=AA273)*(IF($B$6="All",1,IFERROR(--MID(DailyRouteRecordTable[Departure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3">
        <f>IF(AA273="","",IF(COUNTIF($AA$2:AA273,AA273)&gt;1,0,SUMPRODUCT((DailyRouteRecordTable[Route]=AA273)*(IF($B$6="All",1,IFERROR(--MID(DailyRouteRecordTable[Departure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3">
        <f>IF(AB273&lt;=0,"",RANK(AB273,$AB$2:$AB$501,0)+COUNTIFS($AB$2:AB273,AB273)-1)</f>
        <v/>
      </c>
      <c r="AE273">
        <f>IF(AC273&lt;=0,"",RANK(AC273,$AC$2:$AC$501,0)+COUNTIFS($AC$2:AC273,AC273)-1)</f>
        <v/>
      </c>
    </row>
    <row r="274">
      <c r="AA274">
        <f>IFERROR(INDEX(DailyRouteRecordTable[Route],ROW()-1),"")</f>
        <v/>
      </c>
      <c r="AB274">
        <f>IF(AA274="","",IF(COUNTIF($AA$2:AA274,AA274)&gt;1,0,SUMPRODUCT((DailyRouteRecordTable[Route]=AA274)*(IF($B$6="All",1,IFERROR(--MID(DailyRouteRecordTable[Departure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4">
        <f>IF(AA274="","",IF(COUNTIF($AA$2:AA274,AA274)&gt;1,0,SUMPRODUCT((DailyRouteRecordTable[Route]=AA274)*(IF($B$6="All",1,IFERROR(--MID(DailyRouteRecordTable[Departure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4">
        <f>IF(AB274&lt;=0,"",RANK(AB274,$AB$2:$AB$501,0)+COUNTIFS($AB$2:AB274,AB274)-1)</f>
        <v/>
      </c>
      <c r="AE274">
        <f>IF(AC274&lt;=0,"",RANK(AC274,$AC$2:$AC$501,0)+COUNTIFS($AC$2:AC274,AC274)-1)</f>
        <v/>
      </c>
    </row>
    <row r="275">
      <c r="AA275">
        <f>IFERROR(INDEX(DailyRouteRecordTable[Route],ROW()-1),"")</f>
        <v/>
      </c>
      <c r="AB275">
        <f>IF(AA275="","",IF(COUNTIF($AA$2:AA275,AA275)&gt;1,0,SUMPRODUCT((DailyRouteRecordTable[Route]=AA275)*(IF($B$6="All",1,IFERROR(--MID(DailyRouteRecordTable[Departure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5">
        <f>IF(AA275="","",IF(COUNTIF($AA$2:AA275,AA275)&gt;1,0,SUMPRODUCT((DailyRouteRecordTable[Route]=AA275)*(IF($B$6="All",1,IFERROR(--MID(DailyRouteRecordTable[Departure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5">
        <f>IF(AB275&lt;=0,"",RANK(AB275,$AB$2:$AB$501,0)+COUNTIFS($AB$2:AB275,AB275)-1)</f>
        <v/>
      </c>
      <c r="AE275">
        <f>IF(AC275&lt;=0,"",RANK(AC275,$AC$2:$AC$501,0)+COUNTIFS($AC$2:AC275,AC275)-1)</f>
        <v/>
      </c>
    </row>
    <row r="276">
      <c r="AA276">
        <f>IFERROR(INDEX(DailyRouteRecordTable[Route],ROW()-1),"")</f>
        <v/>
      </c>
      <c r="AB276">
        <f>IF(AA276="","",IF(COUNTIF($AA$2:AA276,AA276)&gt;1,0,SUMPRODUCT((DailyRouteRecordTable[Route]=AA276)*(IF($B$6="All",1,IFERROR(--MID(DailyRouteRecordTable[Departure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6">
        <f>IF(AA276="","",IF(COUNTIF($AA$2:AA276,AA276)&gt;1,0,SUMPRODUCT((DailyRouteRecordTable[Route]=AA276)*(IF($B$6="All",1,IFERROR(--MID(DailyRouteRecordTable[Departure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6">
        <f>IF(AB276&lt;=0,"",RANK(AB276,$AB$2:$AB$501,0)+COUNTIFS($AB$2:AB276,AB276)-1)</f>
        <v/>
      </c>
      <c r="AE276">
        <f>IF(AC276&lt;=0,"",RANK(AC276,$AC$2:$AC$501,0)+COUNTIFS($AC$2:AC276,AC276)-1)</f>
        <v/>
      </c>
    </row>
    <row r="277">
      <c r="AA277">
        <f>IFERROR(INDEX(DailyRouteRecordTable[Route],ROW()-1),"")</f>
        <v/>
      </c>
      <c r="AB277">
        <f>IF(AA277="","",IF(COUNTIF($AA$2:AA277,AA277)&gt;1,0,SUMPRODUCT((DailyRouteRecordTable[Route]=AA277)*(IF($B$6="All",1,IFERROR(--MID(DailyRouteRecordTable[Departure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7">
        <f>IF(AA277="","",IF(COUNTIF($AA$2:AA277,AA277)&gt;1,0,SUMPRODUCT((DailyRouteRecordTable[Route]=AA277)*(IF($B$6="All",1,IFERROR(--MID(DailyRouteRecordTable[Departure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7">
        <f>IF(AB277&lt;=0,"",RANK(AB277,$AB$2:$AB$501,0)+COUNTIFS($AB$2:AB277,AB277)-1)</f>
        <v/>
      </c>
      <c r="AE277">
        <f>IF(AC277&lt;=0,"",RANK(AC277,$AC$2:$AC$501,0)+COUNTIFS($AC$2:AC277,AC277)-1)</f>
        <v/>
      </c>
    </row>
    <row r="278">
      <c r="AA278">
        <f>IFERROR(INDEX(DailyRouteRecordTable[Route],ROW()-1),"")</f>
        <v/>
      </c>
      <c r="AB278">
        <f>IF(AA278="","",IF(COUNTIF($AA$2:AA278,AA278)&gt;1,0,SUMPRODUCT((DailyRouteRecordTable[Route]=AA278)*(IF($B$6="All",1,IFERROR(--MID(DailyRouteRecordTable[Departure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8">
        <f>IF(AA278="","",IF(COUNTIF($AA$2:AA278,AA278)&gt;1,0,SUMPRODUCT((DailyRouteRecordTable[Route]=AA278)*(IF($B$6="All",1,IFERROR(--MID(DailyRouteRecordTable[Departure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8">
        <f>IF(AB278&lt;=0,"",RANK(AB278,$AB$2:$AB$501,0)+COUNTIFS($AB$2:AB278,AB278)-1)</f>
        <v/>
      </c>
      <c r="AE278">
        <f>IF(AC278&lt;=0,"",RANK(AC278,$AC$2:$AC$501,0)+COUNTIFS($AC$2:AC278,AC278)-1)</f>
        <v/>
      </c>
    </row>
    <row r="279">
      <c r="AA279">
        <f>IFERROR(INDEX(DailyRouteRecordTable[Route],ROW()-1),"")</f>
        <v/>
      </c>
      <c r="AB279">
        <f>IF(AA279="","",IF(COUNTIF($AA$2:AA279,AA279)&gt;1,0,SUMPRODUCT((DailyRouteRecordTable[Route]=AA279)*(IF($B$6="All",1,IFERROR(--MID(DailyRouteRecordTable[Departure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79">
        <f>IF(AA279="","",IF(COUNTIF($AA$2:AA279,AA279)&gt;1,0,SUMPRODUCT((DailyRouteRecordTable[Route]=AA279)*(IF($B$6="All",1,IFERROR(--MID(DailyRouteRecordTable[Departure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79">
        <f>IF(AB279&lt;=0,"",RANK(AB279,$AB$2:$AB$501,0)+COUNTIFS($AB$2:AB279,AB279)-1)</f>
        <v/>
      </c>
      <c r="AE279">
        <f>IF(AC279&lt;=0,"",RANK(AC279,$AC$2:$AC$501,0)+COUNTIFS($AC$2:AC279,AC279)-1)</f>
        <v/>
      </c>
    </row>
    <row r="280">
      <c r="AA280">
        <f>IFERROR(INDEX(DailyRouteRecordTable[Route],ROW()-1),"")</f>
        <v/>
      </c>
      <c r="AB280">
        <f>IF(AA280="","",IF(COUNTIF($AA$2:AA280,AA280)&gt;1,0,SUMPRODUCT((DailyRouteRecordTable[Route]=AA280)*(IF($B$6="All",1,IFERROR(--MID(DailyRouteRecordTable[Departure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0">
        <f>IF(AA280="","",IF(COUNTIF($AA$2:AA280,AA280)&gt;1,0,SUMPRODUCT((DailyRouteRecordTable[Route]=AA280)*(IF($B$6="All",1,IFERROR(--MID(DailyRouteRecordTable[Departure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0">
        <f>IF(AB280&lt;=0,"",RANK(AB280,$AB$2:$AB$501,0)+COUNTIFS($AB$2:AB280,AB280)-1)</f>
        <v/>
      </c>
      <c r="AE280">
        <f>IF(AC280&lt;=0,"",RANK(AC280,$AC$2:$AC$501,0)+COUNTIFS($AC$2:AC280,AC280)-1)</f>
        <v/>
      </c>
    </row>
    <row r="281">
      <c r="AA281">
        <f>IFERROR(INDEX(DailyRouteRecordTable[Route],ROW()-1),"")</f>
        <v/>
      </c>
      <c r="AB281">
        <f>IF(AA281="","",IF(COUNTIF($AA$2:AA281,AA281)&gt;1,0,SUMPRODUCT((DailyRouteRecordTable[Route]=AA281)*(IF($B$6="All",1,IFERROR(--MID(DailyRouteRecordTable[Departure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1">
        <f>IF(AA281="","",IF(COUNTIF($AA$2:AA281,AA281)&gt;1,0,SUMPRODUCT((DailyRouteRecordTable[Route]=AA281)*(IF($B$6="All",1,IFERROR(--MID(DailyRouteRecordTable[Departure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1">
        <f>IF(AB281&lt;=0,"",RANK(AB281,$AB$2:$AB$501,0)+COUNTIFS($AB$2:AB281,AB281)-1)</f>
        <v/>
      </c>
      <c r="AE281">
        <f>IF(AC281&lt;=0,"",RANK(AC281,$AC$2:$AC$501,0)+COUNTIFS($AC$2:AC281,AC281)-1)</f>
        <v/>
      </c>
    </row>
    <row r="282">
      <c r="AA282">
        <f>IFERROR(INDEX(DailyRouteRecordTable[Route],ROW()-1),"")</f>
        <v/>
      </c>
      <c r="AB282">
        <f>IF(AA282="","",IF(COUNTIF($AA$2:AA282,AA282)&gt;1,0,SUMPRODUCT((DailyRouteRecordTable[Route]=AA282)*(IF($B$6="All",1,IFERROR(--MID(DailyRouteRecordTable[Departure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2">
        <f>IF(AA282="","",IF(COUNTIF($AA$2:AA282,AA282)&gt;1,0,SUMPRODUCT((DailyRouteRecordTable[Route]=AA282)*(IF($B$6="All",1,IFERROR(--MID(DailyRouteRecordTable[Departure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2">
        <f>IF(AB282&lt;=0,"",RANK(AB282,$AB$2:$AB$501,0)+COUNTIFS($AB$2:AB282,AB282)-1)</f>
        <v/>
      </c>
      <c r="AE282">
        <f>IF(AC282&lt;=0,"",RANK(AC282,$AC$2:$AC$501,0)+COUNTIFS($AC$2:AC282,AC282)-1)</f>
        <v/>
      </c>
    </row>
    <row r="283">
      <c r="AA283">
        <f>IFERROR(INDEX(DailyRouteRecordTable[Route],ROW()-1),"")</f>
        <v/>
      </c>
      <c r="AB283">
        <f>IF(AA283="","",IF(COUNTIF($AA$2:AA283,AA283)&gt;1,0,SUMPRODUCT((DailyRouteRecordTable[Route]=AA283)*(IF($B$6="All",1,IFERROR(--MID(DailyRouteRecordTable[Departure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3">
        <f>IF(AA283="","",IF(COUNTIF($AA$2:AA283,AA283)&gt;1,0,SUMPRODUCT((DailyRouteRecordTable[Route]=AA283)*(IF($B$6="All",1,IFERROR(--MID(DailyRouteRecordTable[Departure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3">
        <f>IF(AB283&lt;=0,"",RANK(AB283,$AB$2:$AB$501,0)+COUNTIFS($AB$2:AB283,AB283)-1)</f>
        <v/>
      </c>
      <c r="AE283">
        <f>IF(AC283&lt;=0,"",RANK(AC283,$AC$2:$AC$501,0)+COUNTIFS($AC$2:AC283,AC283)-1)</f>
        <v/>
      </c>
    </row>
    <row r="284">
      <c r="AA284">
        <f>IFERROR(INDEX(DailyRouteRecordTable[Route],ROW()-1),"")</f>
        <v/>
      </c>
      <c r="AB284">
        <f>IF(AA284="","",IF(COUNTIF($AA$2:AA284,AA284)&gt;1,0,SUMPRODUCT((DailyRouteRecordTable[Route]=AA284)*(IF($B$6="All",1,IFERROR(--MID(DailyRouteRecordTable[Departure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4">
        <f>IF(AA284="","",IF(COUNTIF($AA$2:AA284,AA284)&gt;1,0,SUMPRODUCT((DailyRouteRecordTable[Route]=AA284)*(IF($B$6="All",1,IFERROR(--MID(DailyRouteRecordTable[Departure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4">
        <f>IF(AB284&lt;=0,"",RANK(AB284,$AB$2:$AB$501,0)+COUNTIFS($AB$2:AB284,AB284)-1)</f>
        <v/>
      </c>
      <c r="AE284">
        <f>IF(AC284&lt;=0,"",RANK(AC284,$AC$2:$AC$501,0)+COUNTIFS($AC$2:AC284,AC284)-1)</f>
        <v/>
      </c>
    </row>
    <row r="285">
      <c r="AA285">
        <f>IFERROR(INDEX(DailyRouteRecordTable[Route],ROW()-1),"")</f>
        <v/>
      </c>
      <c r="AB285">
        <f>IF(AA285="","",IF(COUNTIF($AA$2:AA285,AA285)&gt;1,0,SUMPRODUCT((DailyRouteRecordTable[Route]=AA285)*(IF($B$6="All",1,IFERROR(--MID(DailyRouteRecordTable[Departure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5">
        <f>IF(AA285="","",IF(COUNTIF($AA$2:AA285,AA285)&gt;1,0,SUMPRODUCT((DailyRouteRecordTable[Route]=AA285)*(IF($B$6="All",1,IFERROR(--MID(DailyRouteRecordTable[Departure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5">
        <f>IF(AB285&lt;=0,"",RANK(AB285,$AB$2:$AB$501,0)+COUNTIFS($AB$2:AB285,AB285)-1)</f>
        <v/>
      </c>
      <c r="AE285">
        <f>IF(AC285&lt;=0,"",RANK(AC285,$AC$2:$AC$501,0)+COUNTIFS($AC$2:AC285,AC285)-1)</f>
        <v/>
      </c>
    </row>
    <row r="286">
      <c r="AA286">
        <f>IFERROR(INDEX(DailyRouteRecordTable[Route],ROW()-1),"")</f>
        <v/>
      </c>
      <c r="AB286">
        <f>IF(AA286="","",IF(COUNTIF($AA$2:AA286,AA286)&gt;1,0,SUMPRODUCT((DailyRouteRecordTable[Route]=AA286)*(IF($B$6="All",1,IFERROR(--MID(DailyRouteRecordTable[Departure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6">
        <f>IF(AA286="","",IF(COUNTIF($AA$2:AA286,AA286)&gt;1,0,SUMPRODUCT((DailyRouteRecordTable[Route]=AA286)*(IF($B$6="All",1,IFERROR(--MID(DailyRouteRecordTable[Departure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6">
        <f>IF(AB286&lt;=0,"",RANK(AB286,$AB$2:$AB$501,0)+COUNTIFS($AB$2:AB286,AB286)-1)</f>
        <v/>
      </c>
      <c r="AE286">
        <f>IF(AC286&lt;=0,"",RANK(AC286,$AC$2:$AC$501,0)+COUNTIFS($AC$2:AC286,AC286)-1)</f>
        <v/>
      </c>
    </row>
    <row r="287">
      <c r="AA287">
        <f>IFERROR(INDEX(DailyRouteRecordTable[Route],ROW()-1),"")</f>
        <v/>
      </c>
      <c r="AB287">
        <f>IF(AA287="","",IF(COUNTIF($AA$2:AA287,AA287)&gt;1,0,SUMPRODUCT((DailyRouteRecordTable[Route]=AA287)*(IF($B$6="All",1,IFERROR(--MID(DailyRouteRecordTable[Departure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7">
        <f>IF(AA287="","",IF(COUNTIF($AA$2:AA287,AA287)&gt;1,0,SUMPRODUCT((DailyRouteRecordTable[Route]=AA287)*(IF($B$6="All",1,IFERROR(--MID(DailyRouteRecordTable[Departure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7">
        <f>IF(AB287&lt;=0,"",RANK(AB287,$AB$2:$AB$501,0)+COUNTIFS($AB$2:AB287,AB287)-1)</f>
        <v/>
      </c>
      <c r="AE287">
        <f>IF(AC287&lt;=0,"",RANK(AC287,$AC$2:$AC$501,0)+COUNTIFS($AC$2:AC287,AC287)-1)</f>
        <v/>
      </c>
    </row>
    <row r="288">
      <c r="AA288">
        <f>IFERROR(INDEX(DailyRouteRecordTable[Route],ROW()-1),"")</f>
        <v/>
      </c>
      <c r="AB288">
        <f>IF(AA288="","",IF(COUNTIF($AA$2:AA288,AA288)&gt;1,0,SUMPRODUCT((DailyRouteRecordTable[Route]=AA288)*(IF($B$6="All",1,IFERROR(--MID(DailyRouteRecordTable[Departure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8">
        <f>IF(AA288="","",IF(COUNTIF($AA$2:AA288,AA288)&gt;1,0,SUMPRODUCT((DailyRouteRecordTable[Route]=AA288)*(IF($B$6="All",1,IFERROR(--MID(DailyRouteRecordTable[Departure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8">
        <f>IF(AB288&lt;=0,"",RANK(AB288,$AB$2:$AB$501,0)+COUNTIFS($AB$2:AB288,AB288)-1)</f>
        <v/>
      </c>
      <c r="AE288">
        <f>IF(AC288&lt;=0,"",RANK(AC288,$AC$2:$AC$501,0)+COUNTIFS($AC$2:AC288,AC288)-1)</f>
        <v/>
      </c>
    </row>
    <row r="289">
      <c r="AA289">
        <f>IFERROR(INDEX(DailyRouteRecordTable[Route],ROW()-1),"")</f>
        <v/>
      </c>
      <c r="AB289">
        <f>IF(AA289="","",IF(COUNTIF($AA$2:AA289,AA289)&gt;1,0,SUMPRODUCT((DailyRouteRecordTable[Route]=AA289)*(IF($B$6="All",1,IFERROR(--MID(DailyRouteRecordTable[Departure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89">
        <f>IF(AA289="","",IF(COUNTIF($AA$2:AA289,AA289)&gt;1,0,SUMPRODUCT((DailyRouteRecordTable[Route]=AA289)*(IF($B$6="All",1,IFERROR(--MID(DailyRouteRecordTable[Departure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89">
        <f>IF(AB289&lt;=0,"",RANK(AB289,$AB$2:$AB$501,0)+COUNTIFS($AB$2:AB289,AB289)-1)</f>
        <v/>
      </c>
      <c r="AE289">
        <f>IF(AC289&lt;=0,"",RANK(AC289,$AC$2:$AC$501,0)+COUNTIFS($AC$2:AC289,AC289)-1)</f>
        <v/>
      </c>
    </row>
    <row r="290">
      <c r="AA290">
        <f>IFERROR(INDEX(DailyRouteRecordTable[Route],ROW()-1),"")</f>
        <v/>
      </c>
      <c r="AB290">
        <f>IF(AA290="","",IF(COUNTIF($AA$2:AA290,AA290)&gt;1,0,SUMPRODUCT((DailyRouteRecordTable[Route]=AA290)*(IF($B$6="All",1,IFERROR(--MID(DailyRouteRecordTable[Departure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0">
        <f>IF(AA290="","",IF(COUNTIF($AA$2:AA290,AA290)&gt;1,0,SUMPRODUCT((DailyRouteRecordTable[Route]=AA290)*(IF($B$6="All",1,IFERROR(--MID(DailyRouteRecordTable[Departure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0">
        <f>IF(AB290&lt;=0,"",RANK(AB290,$AB$2:$AB$501,0)+COUNTIFS($AB$2:AB290,AB290)-1)</f>
        <v/>
      </c>
      <c r="AE290">
        <f>IF(AC290&lt;=0,"",RANK(AC290,$AC$2:$AC$501,0)+COUNTIFS($AC$2:AC290,AC290)-1)</f>
        <v/>
      </c>
    </row>
    <row r="291">
      <c r="AA291">
        <f>IFERROR(INDEX(DailyRouteRecordTable[Route],ROW()-1),"")</f>
        <v/>
      </c>
      <c r="AB291">
        <f>IF(AA291="","",IF(COUNTIF($AA$2:AA291,AA291)&gt;1,0,SUMPRODUCT((DailyRouteRecordTable[Route]=AA291)*(IF($B$6="All",1,IFERROR(--MID(DailyRouteRecordTable[Departure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1">
        <f>IF(AA291="","",IF(COUNTIF($AA$2:AA291,AA291)&gt;1,0,SUMPRODUCT((DailyRouteRecordTable[Route]=AA291)*(IF($B$6="All",1,IFERROR(--MID(DailyRouteRecordTable[Departure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1">
        <f>IF(AB291&lt;=0,"",RANK(AB291,$AB$2:$AB$501,0)+COUNTIFS($AB$2:AB291,AB291)-1)</f>
        <v/>
      </c>
      <c r="AE291">
        <f>IF(AC291&lt;=0,"",RANK(AC291,$AC$2:$AC$501,0)+COUNTIFS($AC$2:AC291,AC291)-1)</f>
        <v/>
      </c>
    </row>
    <row r="292">
      <c r="AA292">
        <f>IFERROR(INDEX(DailyRouteRecordTable[Route],ROW()-1),"")</f>
        <v/>
      </c>
      <c r="AB292">
        <f>IF(AA292="","",IF(COUNTIF($AA$2:AA292,AA292)&gt;1,0,SUMPRODUCT((DailyRouteRecordTable[Route]=AA292)*(IF($B$6="All",1,IFERROR(--MID(DailyRouteRecordTable[Departure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2">
        <f>IF(AA292="","",IF(COUNTIF($AA$2:AA292,AA292)&gt;1,0,SUMPRODUCT((DailyRouteRecordTable[Route]=AA292)*(IF($B$6="All",1,IFERROR(--MID(DailyRouteRecordTable[Departure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2">
        <f>IF(AB292&lt;=0,"",RANK(AB292,$AB$2:$AB$501,0)+COUNTIFS($AB$2:AB292,AB292)-1)</f>
        <v/>
      </c>
      <c r="AE292">
        <f>IF(AC292&lt;=0,"",RANK(AC292,$AC$2:$AC$501,0)+COUNTIFS($AC$2:AC292,AC292)-1)</f>
        <v/>
      </c>
    </row>
    <row r="293">
      <c r="AA293">
        <f>IFERROR(INDEX(DailyRouteRecordTable[Route],ROW()-1),"")</f>
        <v/>
      </c>
      <c r="AB293">
        <f>IF(AA293="","",IF(COUNTIF($AA$2:AA293,AA293)&gt;1,0,SUMPRODUCT((DailyRouteRecordTable[Route]=AA293)*(IF($B$6="All",1,IFERROR(--MID(DailyRouteRecordTable[Departure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3">
        <f>IF(AA293="","",IF(COUNTIF($AA$2:AA293,AA293)&gt;1,0,SUMPRODUCT((DailyRouteRecordTable[Route]=AA293)*(IF($B$6="All",1,IFERROR(--MID(DailyRouteRecordTable[Departure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3">
        <f>IF(AB293&lt;=0,"",RANK(AB293,$AB$2:$AB$501,0)+COUNTIFS($AB$2:AB293,AB293)-1)</f>
        <v/>
      </c>
      <c r="AE293">
        <f>IF(AC293&lt;=0,"",RANK(AC293,$AC$2:$AC$501,0)+COUNTIFS($AC$2:AC293,AC293)-1)</f>
        <v/>
      </c>
    </row>
    <row r="294">
      <c r="AA294">
        <f>IFERROR(INDEX(DailyRouteRecordTable[Route],ROW()-1),"")</f>
        <v/>
      </c>
      <c r="AB294">
        <f>IF(AA294="","",IF(COUNTIF($AA$2:AA294,AA294)&gt;1,0,SUMPRODUCT((DailyRouteRecordTable[Route]=AA294)*(IF($B$6="All",1,IFERROR(--MID(DailyRouteRecordTable[Departure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4">
        <f>IF(AA294="","",IF(COUNTIF($AA$2:AA294,AA294)&gt;1,0,SUMPRODUCT((DailyRouteRecordTable[Route]=AA294)*(IF($B$6="All",1,IFERROR(--MID(DailyRouteRecordTable[Departure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4">
        <f>IF(AB294&lt;=0,"",RANK(AB294,$AB$2:$AB$501,0)+COUNTIFS($AB$2:AB294,AB294)-1)</f>
        <v/>
      </c>
      <c r="AE294">
        <f>IF(AC294&lt;=0,"",RANK(AC294,$AC$2:$AC$501,0)+COUNTIFS($AC$2:AC294,AC294)-1)</f>
        <v/>
      </c>
    </row>
    <row r="295">
      <c r="AA295">
        <f>IFERROR(INDEX(DailyRouteRecordTable[Route],ROW()-1),"")</f>
        <v/>
      </c>
      <c r="AB295">
        <f>IF(AA295="","",IF(COUNTIF($AA$2:AA295,AA295)&gt;1,0,SUMPRODUCT((DailyRouteRecordTable[Route]=AA295)*(IF($B$6="All",1,IFERROR(--MID(DailyRouteRecordTable[Departure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5">
        <f>IF(AA295="","",IF(COUNTIF($AA$2:AA295,AA295)&gt;1,0,SUMPRODUCT((DailyRouteRecordTable[Route]=AA295)*(IF($B$6="All",1,IFERROR(--MID(DailyRouteRecordTable[Departure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5">
        <f>IF(AB295&lt;=0,"",RANK(AB295,$AB$2:$AB$501,0)+COUNTIFS($AB$2:AB295,AB295)-1)</f>
        <v/>
      </c>
      <c r="AE295">
        <f>IF(AC295&lt;=0,"",RANK(AC295,$AC$2:$AC$501,0)+COUNTIFS($AC$2:AC295,AC295)-1)</f>
        <v/>
      </c>
    </row>
    <row r="296">
      <c r="AA296">
        <f>IFERROR(INDEX(DailyRouteRecordTable[Route],ROW()-1),"")</f>
        <v/>
      </c>
      <c r="AB296">
        <f>IF(AA296="","",IF(COUNTIF($AA$2:AA296,AA296)&gt;1,0,SUMPRODUCT((DailyRouteRecordTable[Route]=AA296)*(IF($B$6="All",1,IFERROR(--MID(DailyRouteRecordTable[Departure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6">
        <f>IF(AA296="","",IF(COUNTIF($AA$2:AA296,AA296)&gt;1,0,SUMPRODUCT((DailyRouteRecordTable[Route]=AA296)*(IF($B$6="All",1,IFERROR(--MID(DailyRouteRecordTable[Departure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6">
        <f>IF(AB296&lt;=0,"",RANK(AB296,$AB$2:$AB$501,0)+COUNTIFS($AB$2:AB296,AB296)-1)</f>
        <v/>
      </c>
      <c r="AE296">
        <f>IF(AC296&lt;=0,"",RANK(AC296,$AC$2:$AC$501,0)+COUNTIFS($AC$2:AC296,AC296)-1)</f>
        <v/>
      </c>
    </row>
    <row r="297">
      <c r="AA297">
        <f>IFERROR(INDEX(DailyRouteRecordTable[Route],ROW()-1),"")</f>
        <v/>
      </c>
      <c r="AB297">
        <f>IF(AA297="","",IF(COUNTIF($AA$2:AA297,AA297)&gt;1,0,SUMPRODUCT((DailyRouteRecordTable[Route]=AA297)*(IF($B$6="All",1,IFERROR(--MID(DailyRouteRecordTable[Departure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7">
        <f>IF(AA297="","",IF(COUNTIF($AA$2:AA297,AA297)&gt;1,0,SUMPRODUCT((DailyRouteRecordTable[Route]=AA297)*(IF($B$6="All",1,IFERROR(--MID(DailyRouteRecordTable[Departure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7">
        <f>IF(AB297&lt;=0,"",RANK(AB297,$AB$2:$AB$501,0)+COUNTIFS($AB$2:AB297,AB297)-1)</f>
        <v/>
      </c>
      <c r="AE297">
        <f>IF(AC297&lt;=0,"",RANK(AC297,$AC$2:$AC$501,0)+COUNTIFS($AC$2:AC297,AC297)-1)</f>
        <v/>
      </c>
    </row>
    <row r="298">
      <c r="AA298">
        <f>IFERROR(INDEX(DailyRouteRecordTable[Route],ROW()-1),"")</f>
        <v/>
      </c>
      <c r="AB298">
        <f>IF(AA298="","",IF(COUNTIF($AA$2:AA298,AA298)&gt;1,0,SUMPRODUCT((DailyRouteRecordTable[Route]=AA298)*(IF($B$6="All",1,IFERROR(--MID(DailyRouteRecordTable[Departure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8">
        <f>IF(AA298="","",IF(COUNTIF($AA$2:AA298,AA298)&gt;1,0,SUMPRODUCT((DailyRouteRecordTable[Route]=AA298)*(IF($B$6="All",1,IFERROR(--MID(DailyRouteRecordTable[Departure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8">
        <f>IF(AB298&lt;=0,"",RANK(AB298,$AB$2:$AB$501,0)+COUNTIFS($AB$2:AB298,AB298)-1)</f>
        <v/>
      </c>
      <c r="AE298">
        <f>IF(AC298&lt;=0,"",RANK(AC298,$AC$2:$AC$501,0)+COUNTIFS($AC$2:AC298,AC298)-1)</f>
        <v/>
      </c>
    </row>
    <row r="299">
      <c r="AA299">
        <f>IFERROR(INDEX(DailyRouteRecordTable[Route],ROW()-1),"")</f>
        <v/>
      </c>
      <c r="AB299">
        <f>IF(AA299="","",IF(COUNTIF($AA$2:AA299,AA299)&gt;1,0,SUMPRODUCT((DailyRouteRecordTable[Route]=AA299)*(IF($B$6="All",1,IFERROR(--MID(DailyRouteRecordTable[Departure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299">
        <f>IF(AA299="","",IF(COUNTIF($AA$2:AA299,AA299)&gt;1,0,SUMPRODUCT((DailyRouteRecordTable[Route]=AA299)*(IF($B$6="All",1,IFERROR(--MID(DailyRouteRecordTable[Departure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299">
        <f>IF(AB299&lt;=0,"",RANK(AB299,$AB$2:$AB$501,0)+COUNTIFS($AB$2:AB299,AB299)-1)</f>
        <v/>
      </c>
      <c r="AE299">
        <f>IF(AC299&lt;=0,"",RANK(AC299,$AC$2:$AC$501,0)+COUNTIFS($AC$2:AC299,AC299)-1)</f>
        <v/>
      </c>
    </row>
    <row r="300">
      <c r="AA300">
        <f>IFERROR(INDEX(DailyRouteRecordTable[Route],ROW()-1),"")</f>
        <v/>
      </c>
      <c r="AB300">
        <f>IF(AA300="","",IF(COUNTIF($AA$2:AA300,AA300)&gt;1,0,SUMPRODUCT((DailyRouteRecordTable[Route]=AA300)*(IF($B$6="All",1,IFERROR(--MID(DailyRouteRecordTable[Departure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0">
        <f>IF(AA300="","",IF(COUNTIF($AA$2:AA300,AA300)&gt;1,0,SUMPRODUCT((DailyRouteRecordTable[Route]=AA300)*(IF($B$6="All",1,IFERROR(--MID(DailyRouteRecordTable[Departure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0">
        <f>IF(AB300&lt;=0,"",RANK(AB300,$AB$2:$AB$501,0)+COUNTIFS($AB$2:AB300,AB300)-1)</f>
        <v/>
      </c>
      <c r="AE300">
        <f>IF(AC300&lt;=0,"",RANK(AC300,$AC$2:$AC$501,0)+COUNTIFS($AC$2:AC300,AC300)-1)</f>
        <v/>
      </c>
    </row>
    <row r="301">
      <c r="AA301">
        <f>IFERROR(INDEX(DailyRouteRecordTable[Route],ROW()-1),"")</f>
        <v/>
      </c>
      <c r="AB301">
        <f>IF(AA301="","",IF(COUNTIF($AA$2:AA301,AA301)&gt;1,0,SUMPRODUCT((DailyRouteRecordTable[Route]=AA301)*(IF($B$6="All",1,IFERROR(--MID(DailyRouteRecordTable[Departure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1">
        <f>IF(AA301="","",IF(COUNTIF($AA$2:AA301,AA301)&gt;1,0,SUMPRODUCT((DailyRouteRecordTable[Route]=AA301)*(IF($B$6="All",1,IFERROR(--MID(DailyRouteRecordTable[Departure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1">
        <f>IF(AB301&lt;=0,"",RANK(AB301,$AB$2:$AB$501,0)+COUNTIFS($AB$2:AB301,AB301)-1)</f>
        <v/>
      </c>
      <c r="AE301">
        <f>IF(AC301&lt;=0,"",RANK(AC301,$AC$2:$AC$501,0)+COUNTIFS($AC$2:AC301,AC301)-1)</f>
        <v/>
      </c>
    </row>
    <row r="302">
      <c r="AA302">
        <f>IFERROR(INDEX(DailyRouteRecordTable[Route],ROW()-1),"")</f>
        <v/>
      </c>
      <c r="AB302">
        <f>IF(AA302="","",IF(COUNTIF($AA$2:AA302,AA302)&gt;1,0,SUMPRODUCT((DailyRouteRecordTable[Route]=AA302)*(IF($B$6="All",1,IFERROR(--MID(DailyRouteRecordTable[Departure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2">
        <f>IF(AA302="","",IF(COUNTIF($AA$2:AA302,AA302)&gt;1,0,SUMPRODUCT((DailyRouteRecordTable[Route]=AA302)*(IF($B$6="All",1,IFERROR(--MID(DailyRouteRecordTable[Departure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2">
        <f>IF(AB302&lt;=0,"",RANK(AB302,$AB$2:$AB$501,0)+COUNTIFS($AB$2:AB302,AB302)-1)</f>
        <v/>
      </c>
      <c r="AE302">
        <f>IF(AC302&lt;=0,"",RANK(AC302,$AC$2:$AC$501,0)+COUNTIFS($AC$2:AC302,AC302)-1)</f>
        <v/>
      </c>
    </row>
    <row r="303">
      <c r="AA303">
        <f>IFERROR(INDEX(DailyRouteRecordTable[Route],ROW()-1),"")</f>
        <v/>
      </c>
      <c r="AB303">
        <f>IF(AA303="","",IF(COUNTIF($AA$2:AA303,AA303)&gt;1,0,SUMPRODUCT((DailyRouteRecordTable[Route]=AA303)*(IF($B$6="All",1,IFERROR(--MID(DailyRouteRecordTable[Departure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3">
        <f>IF(AA303="","",IF(COUNTIF($AA$2:AA303,AA303)&gt;1,0,SUMPRODUCT((DailyRouteRecordTable[Route]=AA303)*(IF($B$6="All",1,IFERROR(--MID(DailyRouteRecordTable[Departure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3">
        <f>IF(AB303&lt;=0,"",RANK(AB303,$AB$2:$AB$501,0)+COUNTIFS($AB$2:AB303,AB303)-1)</f>
        <v/>
      </c>
      <c r="AE303">
        <f>IF(AC303&lt;=0,"",RANK(AC303,$AC$2:$AC$501,0)+COUNTIFS($AC$2:AC303,AC303)-1)</f>
        <v/>
      </c>
    </row>
    <row r="304">
      <c r="AA304">
        <f>IFERROR(INDEX(DailyRouteRecordTable[Route],ROW()-1),"")</f>
        <v/>
      </c>
      <c r="AB304">
        <f>IF(AA304="","",IF(COUNTIF($AA$2:AA304,AA304)&gt;1,0,SUMPRODUCT((DailyRouteRecordTable[Route]=AA304)*(IF($B$6="All",1,IFERROR(--MID(DailyRouteRecordTable[Departure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4">
        <f>IF(AA304="","",IF(COUNTIF($AA$2:AA304,AA304)&gt;1,0,SUMPRODUCT((DailyRouteRecordTable[Route]=AA304)*(IF($B$6="All",1,IFERROR(--MID(DailyRouteRecordTable[Departure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4">
        <f>IF(AB304&lt;=0,"",RANK(AB304,$AB$2:$AB$501,0)+COUNTIFS($AB$2:AB304,AB304)-1)</f>
        <v/>
      </c>
      <c r="AE304">
        <f>IF(AC304&lt;=0,"",RANK(AC304,$AC$2:$AC$501,0)+COUNTIFS($AC$2:AC304,AC304)-1)</f>
        <v/>
      </c>
    </row>
    <row r="305">
      <c r="AA305">
        <f>IFERROR(INDEX(DailyRouteRecordTable[Route],ROW()-1),"")</f>
        <v/>
      </c>
      <c r="AB305">
        <f>IF(AA305="","",IF(COUNTIF($AA$2:AA305,AA305)&gt;1,0,SUMPRODUCT((DailyRouteRecordTable[Route]=AA305)*(IF($B$6="All",1,IFERROR(--MID(DailyRouteRecordTable[Departure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5">
        <f>IF(AA305="","",IF(COUNTIF($AA$2:AA305,AA305)&gt;1,0,SUMPRODUCT((DailyRouteRecordTable[Route]=AA305)*(IF($B$6="All",1,IFERROR(--MID(DailyRouteRecordTable[Departure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5">
        <f>IF(AB305&lt;=0,"",RANK(AB305,$AB$2:$AB$501,0)+COUNTIFS($AB$2:AB305,AB305)-1)</f>
        <v/>
      </c>
      <c r="AE305">
        <f>IF(AC305&lt;=0,"",RANK(AC305,$AC$2:$AC$501,0)+COUNTIFS($AC$2:AC305,AC305)-1)</f>
        <v/>
      </c>
    </row>
    <row r="306">
      <c r="AA306">
        <f>IFERROR(INDEX(DailyRouteRecordTable[Route],ROW()-1),"")</f>
        <v/>
      </c>
      <c r="AB306">
        <f>IF(AA306="","",IF(COUNTIF($AA$2:AA306,AA306)&gt;1,0,SUMPRODUCT((DailyRouteRecordTable[Route]=AA306)*(IF($B$6="All",1,IFERROR(--MID(DailyRouteRecordTable[Departure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6">
        <f>IF(AA306="","",IF(COUNTIF($AA$2:AA306,AA306)&gt;1,0,SUMPRODUCT((DailyRouteRecordTable[Route]=AA306)*(IF($B$6="All",1,IFERROR(--MID(DailyRouteRecordTable[Departure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6">
        <f>IF(AB306&lt;=0,"",RANK(AB306,$AB$2:$AB$501,0)+COUNTIFS($AB$2:AB306,AB306)-1)</f>
        <v/>
      </c>
      <c r="AE306">
        <f>IF(AC306&lt;=0,"",RANK(AC306,$AC$2:$AC$501,0)+COUNTIFS($AC$2:AC306,AC306)-1)</f>
        <v/>
      </c>
    </row>
    <row r="307">
      <c r="AA307">
        <f>IFERROR(INDEX(DailyRouteRecordTable[Route],ROW()-1),"")</f>
        <v/>
      </c>
      <c r="AB307">
        <f>IF(AA307="","",IF(COUNTIF($AA$2:AA307,AA307)&gt;1,0,SUMPRODUCT((DailyRouteRecordTable[Route]=AA307)*(IF($B$6="All",1,IFERROR(--MID(DailyRouteRecordTable[Departure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7">
        <f>IF(AA307="","",IF(COUNTIF($AA$2:AA307,AA307)&gt;1,0,SUMPRODUCT((DailyRouteRecordTable[Route]=AA307)*(IF($B$6="All",1,IFERROR(--MID(DailyRouteRecordTable[Departure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7">
        <f>IF(AB307&lt;=0,"",RANK(AB307,$AB$2:$AB$501,0)+COUNTIFS($AB$2:AB307,AB307)-1)</f>
        <v/>
      </c>
      <c r="AE307">
        <f>IF(AC307&lt;=0,"",RANK(AC307,$AC$2:$AC$501,0)+COUNTIFS($AC$2:AC307,AC307)-1)</f>
        <v/>
      </c>
    </row>
    <row r="308">
      <c r="AA308">
        <f>IFERROR(INDEX(DailyRouteRecordTable[Route],ROW()-1),"")</f>
        <v/>
      </c>
      <c r="AB308">
        <f>IF(AA308="","",IF(COUNTIF($AA$2:AA308,AA308)&gt;1,0,SUMPRODUCT((DailyRouteRecordTable[Route]=AA308)*(IF($B$6="All",1,IFERROR(--MID(DailyRouteRecordTable[Departure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8">
        <f>IF(AA308="","",IF(COUNTIF($AA$2:AA308,AA308)&gt;1,0,SUMPRODUCT((DailyRouteRecordTable[Route]=AA308)*(IF($B$6="All",1,IFERROR(--MID(DailyRouteRecordTable[Departure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8">
        <f>IF(AB308&lt;=0,"",RANK(AB308,$AB$2:$AB$501,0)+COUNTIFS($AB$2:AB308,AB308)-1)</f>
        <v/>
      </c>
      <c r="AE308">
        <f>IF(AC308&lt;=0,"",RANK(AC308,$AC$2:$AC$501,0)+COUNTIFS($AC$2:AC308,AC308)-1)</f>
        <v/>
      </c>
    </row>
    <row r="309">
      <c r="AA309">
        <f>IFERROR(INDEX(DailyRouteRecordTable[Route],ROW()-1),"")</f>
        <v/>
      </c>
      <c r="AB309">
        <f>IF(AA309="","",IF(COUNTIF($AA$2:AA309,AA309)&gt;1,0,SUMPRODUCT((DailyRouteRecordTable[Route]=AA309)*(IF($B$6="All",1,IFERROR(--MID(DailyRouteRecordTable[Departure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09">
        <f>IF(AA309="","",IF(COUNTIF($AA$2:AA309,AA309)&gt;1,0,SUMPRODUCT((DailyRouteRecordTable[Route]=AA309)*(IF($B$6="All",1,IFERROR(--MID(DailyRouteRecordTable[Departure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09">
        <f>IF(AB309&lt;=0,"",RANK(AB309,$AB$2:$AB$501,0)+COUNTIFS($AB$2:AB309,AB309)-1)</f>
        <v/>
      </c>
      <c r="AE309">
        <f>IF(AC309&lt;=0,"",RANK(AC309,$AC$2:$AC$501,0)+COUNTIFS($AC$2:AC309,AC309)-1)</f>
        <v/>
      </c>
    </row>
    <row r="310">
      <c r="AA310">
        <f>IFERROR(INDEX(DailyRouteRecordTable[Route],ROW()-1),"")</f>
        <v/>
      </c>
      <c r="AB310">
        <f>IF(AA310="","",IF(COUNTIF($AA$2:AA310,AA310)&gt;1,0,SUMPRODUCT((DailyRouteRecordTable[Route]=AA310)*(IF($B$6="All",1,IFERROR(--MID(DailyRouteRecordTable[Departure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0">
        <f>IF(AA310="","",IF(COUNTIF($AA$2:AA310,AA310)&gt;1,0,SUMPRODUCT((DailyRouteRecordTable[Route]=AA310)*(IF($B$6="All",1,IFERROR(--MID(DailyRouteRecordTable[Departure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0">
        <f>IF(AB310&lt;=0,"",RANK(AB310,$AB$2:$AB$501,0)+COUNTIFS($AB$2:AB310,AB310)-1)</f>
        <v/>
      </c>
      <c r="AE310">
        <f>IF(AC310&lt;=0,"",RANK(AC310,$AC$2:$AC$501,0)+COUNTIFS($AC$2:AC310,AC310)-1)</f>
        <v/>
      </c>
    </row>
    <row r="311">
      <c r="AA311">
        <f>IFERROR(INDEX(DailyRouteRecordTable[Route],ROW()-1),"")</f>
        <v/>
      </c>
      <c r="AB311">
        <f>IF(AA311="","",IF(COUNTIF($AA$2:AA311,AA311)&gt;1,0,SUMPRODUCT((DailyRouteRecordTable[Route]=AA311)*(IF($B$6="All",1,IFERROR(--MID(DailyRouteRecordTable[Departure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1">
        <f>IF(AA311="","",IF(COUNTIF($AA$2:AA311,AA311)&gt;1,0,SUMPRODUCT((DailyRouteRecordTable[Route]=AA311)*(IF($B$6="All",1,IFERROR(--MID(DailyRouteRecordTable[Departure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1">
        <f>IF(AB311&lt;=0,"",RANK(AB311,$AB$2:$AB$501,0)+COUNTIFS($AB$2:AB311,AB311)-1)</f>
        <v/>
      </c>
      <c r="AE311">
        <f>IF(AC311&lt;=0,"",RANK(AC311,$AC$2:$AC$501,0)+COUNTIFS($AC$2:AC311,AC311)-1)</f>
        <v/>
      </c>
    </row>
    <row r="312">
      <c r="AA312">
        <f>IFERROR(INDEX(DailyRouteRecordTable[Route],ROW()-1),"")</f>
        <v/>
      </c>
      <c r="AB312">
        <f>IF(AA312="","",IF(COUNTIF($AA$2:AA312,AA312)&gt;1,0,SUMPRODUCT((DailyRouteRecordTable[Route]=AA312)*(IF($B$6="All",1,IFERROR(--MID(DailyRouteRecordTable[Departure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2">
        <f>IF(AA312="","",IF(COUNTIF($AA$2:AA312,AA312)&gt;1,0,SUMPRODUCT((DailyRouteRecordTable[Route]=AA312)*(IF($B$6="All",1,IFERROR(--MID(DailyRouteRecordTable[Departure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2">
        <f>IF(AB312&lt;=0,"",RANK(AB312,$AB$2:$AB$501,0)+COUNTIFS($AB$2:AB312,AB312)-1)</f>
        <v/>
      </c>
      <c r="AE312">
        <f>IF(AC312&lt;=0,"",RANK(AC312,$AC$2:$AC$501,0)+COUNTIFS($AC$2:AC312,AC312)-1)</f>
        <v/>
      </c>
    </row>
    <row r="313">
      <c r="AA313">
        <f>IFERROR(INDEX(DailyRouteRecordTable[Route],ROW()-1),"")</f>
        <v/>
      </c>
      <c r="AB313">
        <f>IF(AA313="","",IF(COUNTIF($AA$2:AA313,AA313)&gt;1,0,SUMPRODUCT((DailyRouteRecordTable[Route]=AA313)*(IF($B$6="All",1,IFERROR(--MID(DailyRouteRecordTable[Departure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3">
        <f>IF(AA313="","",IF(COUNTIF($AA$2:AA313,AA313)&gt;1,0,SUMPRODUCT((DailyRouteRecordTable[Route]=AA313)*(IF($B$6="All",1,IFERROR(--MID(DailyRouteRecordTable[Departure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3">
        <f>IF(AB313&lt;=0,"",RANK(AB313,$AB$2:$AB$501,0)+COUNTIFS($AB$2:AB313,AB313)-1)</f>
        <v/>
      </c>
      <c r="AE313">
        <f>IF(AC313&lt;=0,"",RANK(AC313,$AC$2:$AC$501,0)+COUNTIFS($AC$2:AC313,AC313)-1)</f>
        <v/>
      </c>
    </row>
    <row r="314">
      <c r="AA314">
        <f>IFERROR(INDEX(DailyRouteRecordTable[Route],ROW()-1),"")</f>
        <v/>
      </c>
      <c r="AB314">
        <f>IF(AA314="","",IF(COUNTIF($AA$2:AA314,AA314)&gt;1,0,SUMPRODUCT((DailyRouteRecordTable[Route]=AA314)*(IF($B$6="All",1,IFERROR(--MID(DailyRouteRecordTable[Departure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4">
        <f>IF(AA314="","",IF(COUNTIF($AA$2:AA314,AA314)&gt;1,0,SUMPRODUCT((DailyRouteRecordTable[Route]=AA314)*(IF($B$6="All",1,IFERROR(--MID(DailyRouteRecordTable[Departure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4">
        <f>IF(AB314&lt;=0,"",RANK(AB314,$AB$2:$AB$501,0)+COUNTIFS($AB$2:AB314,AB314)-1)</f>
        <v/>
      </c>
      <c r="AE314">
        <f>IF(AC314&lt;=0,"",RANK(AC314,$AC$2:$AC$501,0)+COUNTIFS($AC$2:AC314,AC314)-1)</f>
        <v/>
      </c>
    </row>
    <row r="315">
      <c r="AA315">
        <f>IFERROR(INDEX(DailyRouteRecordTable[Route],ROW()-1),"")</f>
        <v/>
      </c>
      <c r="AB315">
        <f>IF(AA315="","",IF(COUNTIF($AA$2:AA315,AA315)&gt;1,0,SUMPRODUCT((DailyRouteRecordTable[Route]=AA315)*(IF($B$6="All",1,IFERROR(--MID(DailyRouteRecordTable[Departure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5">
        <f>IF(AA315="","",IF(COUNTIF($AA$2:AA315,AA315)&gt;1,0,SUMPRODUCT((DailyRouteRecordTable[Route]=AA315)*(IF($B$6="All",1,IFERROR(--MID(DailyRouteRecordTable[Departure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5">
        <f>IF(AB315&lt;=0,"",RANK(AB315,$AB$2:$AB$501,0)+COUNTIFS($AB$2:AB315,AB315)-1)</f>
        <v/>
      </c>
      <c r="AE315">
        <f>IF(AC315&lt;=0,"",RANK(AC315,$AC$2:$AC$501,0)+COUNTIFS($AC$2:AC315,AC315)-1)</f>
        <v/>
      </c>
    </row>
    <row r="316">
      <c r="AA316">
        <f>IFERROR(INDEX(DailyRouteRecordTable[Route],ROW()-1),"")</f>
        <v/>
      </c>
      <c r="AB316">
        <f>IF(AA316="","",IF(COUNTIF($AA$2:AA316,AA316)&gt;1,0,SUMPRODUCT((DailyRouteRecordTable[Route]=AA316)*(IF($B$6="All",1,IFERROR(--MID(DailyRouteRecordTable[Departure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6">
        <f>IF(AA316="","",IF(COUNTIF($AA$2:AA316,AA316)&gt;1,0,SUMPRODUCT((DailyRouteRecordTable[Route]=AA316)*(IF($B$6="All",1,IFERROR(--MID(DailyRouteRecordTable[Departure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6">
        <f>IF(AB316&lt;=0,"",RANK(AB316,$AB$2:$AB$501,0)+COUNTIFS($AB$2:AB316,AB316)-1)</f>
        <v/>
      </c>
      <c r="AE316">
        <f>IF(AC316&lt;=0,"",RANK(AC316,$AC$2:$AC$501,0)+COUNTIFS($AC$2:AC316,AC316)-1)</f>
        <v/>
      </c>
    </row>
    <row r="317">
      <c r="AA317">
        <f>IFERROR(INDEX(DailyRouteRecordTable[Route],ROW()-1),"")</f>
        <v/>
      </c>
      <c r="AB317">
        <f>IF(AA317="","",IF(COUNTIF($AA$2:AA317,AA317)&gt;1,0,SUMPRODUCT((DailyRouteRecordTable[Route]=AA317)*(IF($B$6="All",1,IFERROR(--MID(DailyRouteRecordTable[Departure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7">
        <f>IF(AA317="","",IF(COUNTIF($AA$2:AA317,AA317)&gt;1,0,SUMPRODUCT((DailyRouteRecordTable[Route]=AA317)*(IF($B$6="All",1,IFERROR(--MID(DailyRouteRecordTable[Departure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7">
        <f>IF(AB317&lt;=0,"",RANK(AB317,$AB$2:$AB$501,0)+COUNTIFS($AB$2:AB317,AB317)-1)</f>
        <v/>
      </c>
      <c r="AE317">
        <f>IF(AC317&lt;=0,"",RANK(AC317,$AC$2:$AC$501,0)+COUNTIFS($AC$2:AC317,AC317)-1)</f>
        <v/>
      </c>
    </row>
    <row r="318">
      <c r="AA318">
        <f>IFERROR(INDEX(DailyRouteRecordTable[Route],ROW()-1),"")</f>
        <v/>
      </c>
      <c r="AB318">
        <f>IF(AA318="","",IF(COUNTIF($AA$2:AA318,AA318)&gt;1,0,SUMPRODUCT((DailyRouteRecordTable[Route]=AA318)*(IF($B$6="All",1,IFERROR(--MID(DailyRouteRecordTable[Departure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8">
        <f>IF(AA318="","",IF(COUNTIF($AA$2:AA318,AA318)&gt;1,0,SUMPRODUCT((DailyRouteRecordTable[Route]=AA318)*(IF($B$6="All",1,IFERROR(--MID(DailyRouteRecordTable[Departure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8">
        <f>IF(AB318&lt;=0,"",RANK(AB318,$AB$2:$AB$501,0)+COUNTIFS($AB$2:AB318,AB318)-1)</f>
        <v/>
      </c>
      <c r="AE318">
        <f>IF(AC318&lt;=0,"",RANK(AC318,$AC$2:$AC$501,0)+COUNTIFS($AC$2:AC318,AC318)-1)</f>
        <v/>
      </c>
    </row>
    <row r="319">
      <c r="AA319">
        <f>IFERROR(INDEX(DailyRouteRecordTable[Route],ROW()-1),"")</f>
        <v/>
      </c>
      <c r="AB319">
        <f>IF(AA319="","",IF(COUNTIF($AA$2:AA319,AA319)&gt;1,0,SUMPRODUCT((DailyRouteRecordTable[Route]=AA319)*(IF($B$6="All",1,IFERROR(--MID(DailyRouteRecordTable[Departure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19">
        <f>IF(AA319="","",IF(COUNTIF($AA$2:AA319,AA319)&gt;1,0,SUMPRODUCT((DailyRouteRecordTable[Route]=AA319)*(IF($B$6="All",1,IFERROR(--MID(DailyRouteRecordTable[Departure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19">
        <f>IF(AB319&lt;=0,"",RANK(AB319,$AB$2:$AB$501,0)+COUNTIFS($AB$2:AB319,AB319)-1)</f>
        <v/>
      </c>
      <c r="AE319">
        <f>IF(AC319&lt;=0,"",RANK(AC319,$AC$2:$AC$501,0)+COUNTIFS($AC$2:AC319,AC319)-1)</f>
        <v/>
      </c>
    </row>
    <row r="320">
      <c r="AA320">
        <f>IFERROR(INDEX(DailyRouteRecordTable[Route],ROW()-1),"")</f>
        <v/>
      </c>
      <c r="AB320">
        <f>IF(AA320="","",IF(COUNTIF($AA$2:AA320,AA320)&gt;1,0,SUMPRODUCT((DailyRouteRecordTable[Route]=AA320)*(IF($B$6="All",1,IFERROR(--MID(DailyRouteRecordTable[Departure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0">
        <f>IF(AA320="","",IF(COUNTIF($AA$2:AA320,AA320)&gt;1,0,SUMPRODUCT((DailyRouteRecordTable[Route]=AA320)*(IF($B$6="All",1,IFERROR(--MID(DailyRouteRecordTable[Departure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0">
        <f>IF(AB320&lt;=0,"",RANK(AB320,$AB$2:$AB$501,0)+COUNTIFS($AB$2:AB320,AB320)-1)</f>
        <v/>
      </c>
      <c r="AE320">
        <f>IF(AC320&lt;=0,"",RANK(AC320,$AC$2:$AC$501,0)+COUNTIFS($AC$2:AC320,AC320)-1)</f>
        <v/>
      </c>
    </row>
    <row r="321">
      <c r="AA321">
        <f>IFERROR(INDEX(DailyRouteRecordTable[Route],ROW()-1),"")</f>
        <v/>
      </c>
      <c r="AB321">
        <f>IF(AA321="","",IF(COUNTIF($AA$2:AA321,AA321)&gt;1,0,SUMPRODUCT((DailyRouteRecordTable[Route]=AA321)*(IF($B$6="All",1,IFERROR(--MID(DailyRouteRecordTable[Departure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1">
        <f>IF(AA321="","",IF(COUNTIF($AA$2:AA321,AA321)&gt;1,0,SUMPRODUCT((DailyRouteRecordTable[Route]=AA321)*(IF($B$6="All",1,IFERROR(--MID(DailyRouteRecordTable[Departure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1">
        <f>IF(AB321&lt;=0,"",RANK(AB321,$AB$2:$AB$501,0)+COUNTIFS($AB$2:AB321,AB321)-1)</f>
        <v/>
      </c>
      <c r="AE321">
        <f>IF(AC321&lt;=0,"",RANK(AC321,$AC$2:$AC$501,0)+COUNTIFS($AC$2:AC321,AC321)-1)</f>
        <v/>
      </c>
    </row>
    <row r="322">
      <c r="AA322">
        <f>IFERROR(INDEX(DailyRouteRecordTable[Route],ROW()-1),"")</f>
        <v/>
      </c>
      <c r="AB322">
        <f>IF(AA322="","",IF(COUNTIF($AA$2:AA322,AA322)&gt;1,0,SUMPRODUCT((DailyRouteRecordTable[Route]=AA322)*(IF($B$6="All",1,IFERROR(--MID(DailyRouteRecordTable[Departure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2">
        <f>IF(AA322="","",IF(COUNTIF($AA$2:AA322,AA322)&gt;1,0,SUMPRODUCT((DailyRouteRecordTable[Route]=AA322)*(IF($B$6="All",1,IFERROR(--MID(DailyRouteRecordTable[Departure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2">
        <f>IF(AB322&lt;=0,"",RANK(AB322,$AB$2:$AB$501,0)+COUNTIFS($AB$2:AB322,AB322)-1)</f>
        <v/>
      </c>
      <c r="AE322">
        <f>IF(AC322&lt;=0,"",RANK(AC322,$AC$2:$AC$501,0)+COUNTIFS($AC$2:AC322,AC322)-1)</f>
        <v/>
      </c>
    </row>
    <row r="323">
      <c r="AA323">
        <f>IFERROR(INDEX(DailyRouteRecordTable[Route],ROW()-1),"")</f>
        <v/>
      </c>
      <c r="AB323">
        <f>IF(AA323="","",IF(COUNTIF($AA$2:AA323,AA323)&gt;1,0,SUMPRODUCT((DailyRouteRecordTable[Route]=AA323)*(IF($B$6="All",1,IFERROR(--MID(DailyRouteRecordTable[Departure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3">
        <f>IF(AA323="","",IF(COUNTIF($AA$2:AA323,AA323)&gt;1,0,SUMPRODUCT((DailyRouteRecordTable[Route]=AA323)*(IF($B$6="All",1,IFERROR(--MID(DailyRouteRecordTable[Departure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3">
        <f>IF(AB323&lt;=0,"",RANK(AB323,$AB$2:$AB$501,0)+COUNTIFS($AB$2:AB323,AB323)-1)</f>
        <v/>
      </c>
      <c r="AE323">
        <f>IF(AC323&lt;=0,"",RANK(AC323,$AC$2:$AC$501,0)+COUNTIFS($AC$2:AC323,AC323)-1)</f>
        <v/>
      </c>
    </row>
    <row r="324">
      <c r="AA324">
        <f>IFERROR(INDEX(DailyRouteRecordTable[Route],ROW()-1),"")</f>
        <v/>
      </c>
      <c r="AB324">
        <f>IF(AA324="","",IF(COUNTIF($AA$2:AA324,AA324)&gt;1,0,SUMPRODUCT((DailyRouteRecordTable[Route]=AA324)*(IF($B$6="All",1,IFERROR(--MID(DailyRouteRecordTable[Departure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4">
        <f>IF(AA324="","",IF(COUNTIF($AA$2:AA324,AA324)&gt;1,0,SUMPRODUCT((DailyRouteRecordTable[Route]=AA324)*(IF($B$6="All",1,IFERROR(--MID(DailyRouteRecordTable[Departure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4">
        <f>IF(AB324&lt;=0,"",RANK(AB324,$AB$2:$AB$501,0)+COUNTIFS($AB$2:AB324,AB324)-1)</f>
        <v/>
      </c>
      <c r="AE324">
        <f>IF(AC324&lt;=0,"",RANK(AC324,$AC$2:$AC$501,0)+COUNTIFS($AC$2:AC324,AC324)-1)</f>
        <v/>
      </c>
    </row>
    <row r="325">
      <c r="AA325">
        <f>IFERROR(INDEX(DailyRouteRecordTable[Route],ROW()-1),"")</f>
        <v/>
      </c>
      <c r="AB325">
        <f>IF(AA325="","",IF(COUNTIF($AA$2:AA325,AA325)&gt;1,0,SUMPRODUCT((DailyRouteRecordTable[Route]=AA325)*(IF($B$6="All",1,IFERROR(--MID(DailyRouteRecordTable[Departure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5">
        <f>IF(AA325="","",IF(COUNTIF($AA$2:AA325,AA325)&gt;1,0,SUMPRODUCT((DailyRouteRecordTable[Route]=AA325)*(IF($B$6="All",1,IFERROR(--MID(DailyRouteRecordTable[Departure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5">
        <f>IF(AB325&lt;=0,"",RANK(AB325,$AB$2:$AB$501,0)+COUNTIFS($AB$2:AB325,AB325)-1)</f>
        <v/>
      </c>
      <c r="AE325">
        <f>IF(AC325&lt;=0,"",RANK(AC325,$AC$2:$AC$501,0)+COUNTIFS($AC$2:AC325,AC325)-1)</f>
        <v/>
      </c>
    </row>
    <row r="326">
      <c r="AA326">
        <f>IFERROR(INDEX(DailyRouteRecordTable[Route],ROW()-1),"")</f>
        <v/>
      </c>
      <c r="AB326">
        <f>IF(AA326="","",IF(COUNTIF($AA$2:AA326,AA326)&gt;1,0,SUMPRODUCT((DailyRouteRecordTable[Route]=AA326)*(IF($B$6="All",1,IFERROR(--MID(DailyRouteRecordTable[Departure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6">
        <f>IF(AA326="","",IF(COUNTIF($AA$2:AA326,AA326)&gt;1,0,SUMPRODUCT((DailyRouteRecordTable[Route]=AA326)*(IF($B$6="All",1,IFERROR(--MID(DailyRouteRecordTable[Departure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6">
        <f>IF(AB326&lt;=0,"",RANK(AB326,$AB$2:$AB$501,0)+COUNTIFS($AB$2:AB326,AB326)-1)</f>
        <v/>
      </c>
      <c r="AE326">
        <f>IF(AC326&lt;=0,"",RANK(AC326,$AC$2:$AC$501,0)+COUNTIFS($AC$2:AC326,AC326)-1)</f>
        <v/>
      </c>
    </row>
    <row r="327">
      <c r="AA327">
        <f>IFERROR(INDEX(DailyRouteRecordTable[Route],ROW()-1),"")</f>
        <v/>
      </c>
      <c r="AB327">
        <f>IF(AA327="","",IF(COUNTIF($AA$2:AA327,AA327)&gt;1,0,SUMPRODUCT((DailyRouteRecordTable[Route]=AA327)*(IF($B$6="All",1,IFERROR(--MID(DailyRouteRecordTable[Departure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7">
        <f>IF(AA327="","",IF(COUNTIF($AA$2:AA327,AA327)&gt;1,0,SUMPRODUCT((DailyRouteRecordTable[Route]=AA327)*(IF($B$6="All",1,IFERROR(--MID(DailyRouteRecordTable[Departure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7">
        <f>IF(AB327&lt;=0,"",RANK(AB327,$AB$2:$AB$501,0)+COUNTIFS($AB$2:AB327,AB327)-1)</f>
        <v/>
      </c>
      <c r="AE327">
        <f>IF(AC327&lt;=0,"",RANK(AC327,$AC$2:$AC$501,0)+COUNTIFS($AC$2:AC327,AC327)-1)</f>
        <v/>
      </c>
    </row>
    <row r="328">
      <c r="AA328">
        <f>IFERROR(INDEX(DailyRouteRecordTable[Route],ROW()-1),"")</f>
        <v/>
      </c>
      <c r="AB328">
        <f>IF(AA328="","",IF(COUNTIF($AA$2:AA328,AA328)&gt;1,0,SUMPRODUCT((DailyRouteRecordTable[Route]=AA328)*(IF($B$6="All",1,IFERROR(--MID(DailyRouteRecordTable[Departure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8">
        <f>IF(AA328="","",IF(COUNTIF($AA$2:AA328,AA328)&gt;1,0,SUMPRODUCT((DailyRouteRecordTable[Route]=AA328)*(IF($B$6="All",1,IFERROR(--MID(DailyRouteRecordTable[Departure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8">
        <f>IF(AB328&lt;=0,"",RANK(AB328,$AB$2:$AB$501,0)+COUNTIFS($AB$2:AB328,AB328)-1)</f>
        <v/>
      </c>
      <c r="AE328">
        <f>IF(AC328&lt;=0,"",RANK(AC328,$AC$2:$AC$501,0)+COUNTIFS($AC$2:AC328,AC328)-1)</f>
        <v/>
      </c>
    </row>
    <row r="329">
      <c r="AA329">
        <f>IFERROR(INDEX(DailyRouteRecordTable[Route],ROW()-1),"")</f>
        <v/>
      </c>
      <c r="AB329">
        <f>IF(AA329="","",IF(COUNTIF($AA$2:AA329,AA329)&gt;1,0,SUMPRODUCT((DailyRouteRecordTable[Route]=AA329)*(IF($B$6="All",1,IFERROR(--MID(DailyRouteRecordTable[Departure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29">
        <f>IF(AA329="","",IF(COUNTIF($AA$2:AA329,AA329)&gt;1,0,SUMPRODUCT((DailyRouteRecordTable[Route]=AA329)*(IF($B$6="All",1,IFERROR(--MID(DailyRouteRecordTable[Departure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29">
        <f>IF(AB329&lt;=0,"",RANK(AB329,$AB$2:$AB$501,0)+COUNTIFS($AB$2:AB329,AB329)-1)</f>
        <v/>
      </c>
      <c r="AE329">
        <f>IF(AC329&lt;=0,"",RANK(AC329,$AC$2:$AC$501,0)+COUNTIFS($AC$2:AC329,AC329)-1)</f>
        <v/>
      </c>
    </row>
    <row r="330">
      <c r="AA330">
        <f>IFERROR(INDEX(DailyRouteRecordTable[Route],ROW()-1),"")</f>
        <v/>
      </c>
      <c r="AB330">
        <f>IF(AA330="","",IF(COUNTIF($AA$2:AA330,AA330)&gt;1,0,SUMPRODUCT((DailyRouteRecordTable[Route]=AA330)*(IF($B$6="All",1,IFERROR(--MID(DailyRouteRecordTable[Departure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0">
        <f>IF(AA330="","",IF(COUNTIF($AA$2:AA330,AA330)&gt;1,0,SUMPRODUCT((DailyRouteRecordTable[Route]=AA330)*(IF($B$6="All",1,IFERROR(--MID(DailyRouteRecordTable[Departure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0">
        <f>IF(AB330&lt;=0,"",RANK(AB330,$AB$2:$AB$501,0)+COUNTIFS($AB$2:AB330,AB330)-1)</f>
        <v/>
      </c>
      <c r="AE330">
        <f>IF(AC330&lt;=0,"",RANK(AC330,$AC$2:$AC$501,0)+COUNTIFS($AC$2:AC330,AC330)-1)</f>
        <v/>
      </c>
    </row>
    <row r="331">
      <c r="AA331">
        <f>IFERROR(INDEX(DailyRouteRecordTable[Route],ROW()-1),"")</f>
        <v/>
      </c>
      <c r="AB331">
        <f>IF(AA331="","",IF(COUNTIF($AA$2:AA331,AA331)&gt;1,0,SUMPRODUCT((DailyRouteRecordTable[Route]=AA331)*(IF($B$6="All",1,IFERROR(--MID(DailyRouteRecordTable[Departure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1">
        <f>IF(AA331="","",IF(COUNTIF($AA$2:AA331,AA331)&gt;1,0,SUMPRODUCT((DailyRouteRecordTable[Route]=AA331)*(IF($B$6="All",1,IFERROR(--MID(DailyRouteRecordTable[Departure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1">
        <f>IF(AB331&lt;=0,"",RANK(AB331,$AB$2:$AB$501,0)+COUNTIFS($AB$2:AB331,AB331)-1)</f>
        <v/>
      </c>
      <c r="AE331">
        <f>IF(AC331&lt;=0,"",RANK(AC331,$AC$2:$AC$501,0)+COUNTIFS($AC$2:AC331,AC331)-1)</f>
        <v/>
      </c>
    </row>
    <row r="332">
      <c r="AA332">
        <f>IFERROR(INDEX(DailyRouteRecordTable[Route],ROW()-1),"")</f>
        <v/>
      </c>
      <c r="AB332">
        <f>IF(AA332="","",IF(COUNTIF($AA$2:AA332,AA332)&gt;1,0,SUMPRODUCT((DailyRouteRecordTable[Route]=AA332)*(IF($B$6="All",1,IFERROR(--MID(DailyRouteRecordTable[Departure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2">
        <f>IF(AA332="","",IF(COUNTIF($AA$2:AA332,AA332)&gt;1,0,SUMPRODUCT((DailyRouteRecordTable[Route]=AA332)*(IF($B$6="All",1,IFERROR(--MID(DailyRouteRecordTable[Departure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2">
        <f>IF(AB332&lt;=0,"",RANK(AB332,$AB$2:$AB$501,0)+COUNTIFS($AB$2:AB332,AB332)-1)</f>
        <v/>
      </c>
      <c r="AE332">
        <f>IF(AC332&lt;=0,"",RANK(AC332,$AC$2:$AC$501,0)+COUNTIFS($AC$2:AC332,AC332)-1)</f>
        <v/>
      </c>
    </row>
    <row r="333">
      <c r="AA333">
        <f>IFERROR(INDEX(DailyRouteRecordTable[Route],ROW()-1),"")</f>
        <v/>
      </c>
      <c r="AB333">
        <f>IF(AA333="","",IF(COUNTIF($AA$2:AA333,AA333)&gt;1,0,SUMPRODUCT((DailyRouteRecordTable[Route]=AA333)*(IF($B$6="All",1,IFERROR(--MID(DailyRouteRecordTable[Departure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3">
        <f>IF(AA333="","",IF(COUNTIF($AA$2:AA333,AA333)&gt;1,0,SUMPRODUCT((DailyRouteRecordTable[Route]=AA333)*(IF($B$6="All",1,IFERROR(--MID(DailyRouteRecordTable[Departure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3">
        <f>IF(AB333&lt;=0,"",RANK(AB333,$AB$2:$AB$501,0)+COUNTIFS($AB$2:AB333,AB333)-1)</f>
        <v/>
      </c>
      <c r="AE333">
        <f>IF(AC333&lt;=0,"",RANK(AC333,$AC$2:$AC$501,0)+COUNTIFS($AC$2:AC333,AC333)-1)</f>
        <v/>
      </c>
    </row>
    <row r="334">
      <c r="AA334">
        <f>IFERROR(INDEX(DailyRouteRecordTable[Route],ROW()-1),"")</f>
        <v/>
      </c>
      <c r="AB334">
        <f>IF(AA334="","",IF(COUNTIF($AA$2:AA334,AA334)&gt;1,0,SUMPRODUCT((DailyRouteRecordTable[Route]=AA334)*(IF($B$6="All",1,IFERROR(--MID(DailyRouteRecordTable[Departure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4">
        <f>IF(AA334="","",IF(COUNTIF($AA$2:AA334,AA334)&gt;1,0,SUMPRODUCT((DailyRouteRecordTable[Route]=AA334)*(IF($B$6="All",1,IFERROR(--MID(DailyRouteRecordTable[Departure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4">
        <f>IF(AB334&lt;=0,"",RANK(AB334,$AB$2:$AB$501,0)+COUNTIFS($AB$2:AB334,AB334)-1)</f>
        <v/>
      </c>
      <c r="AE334">
        <f>IF(AC334&lt;=0,"",RANK(AC334,$AC$2:$AC$501,0)+COUNTIFS($AC$2:AC334,AC334)-1)</f>
        <v/>
      </c>
    </row>
    <row r="335">
      <c r="AA335">
        <f>IFERROR(INDEX(DailyRouteRecordTable[Route],ROW()-1),"")</f>
        <v/>
      </c>
      <c r="AB335">
        <f>IF(AA335="","",IF(COUNTIF($AA$2:AA335,AA335)&gt;1,0,SUMPRODUCT((DailyRouteRecordTable[Route]=AA335)*(IF($B$6="All",1,IFERROR(--MID(DailyRouteRecordTable[Departure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5">
        <f>IF(AA335="","",IF(COUNTIF($AA$2:AA335,AA335)&gt;1,0,SUMPRODUCT((DailyRouteRecordTable[Route]=AA335)*(IF($B$6="All",1,IFERROR(--MID(DailyRouteRecordTable[Departure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5">
        <f>IF(AB335&lt;=0,"",RANK(AB335,$AB$2:$AB$501,0)+COUNTIFS($AB$2:AB335,AB335)-1)</f>
        <v/>
      </c>
      <c r="AE335">
        <f>IF(AC335&lt;=0,"",RANK(AC335,$AC$2:$AC$501,0)+COUNTIFS($AC$2:AC335,AC335)-1)</f>
        <v/>
      </c>
    </row>
    <row r="336">
      <c r="AA336">
        <f>IFERROR(INDEX(DailyRouteRecordTable[Route],ROW()-1),"")</f>
        <v/>
      </c>
      <c r="AB336">
        <f>IF(AA336="","",IF(COUNTIF($AA$2:AA336,AA336)&gt;1,0,SUMPRODUCT((DailyRouteRecordTable[Route]=AA336)*(IF($B$6="All",1,IFERROR(--MID(DailyRouteRecordTable[Departure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6">
        <f>IF(AA336="","",IF(COUNTIF($AA$2:AA336,AA336)&gt;1,0,SUMPRODUCT((DailyRouteRecordTable[Route]=AA336)*(IF($B$6="All",1,IFERROR(--MID(DailyRouteRecordTable[Departure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6">
        <f>IF(AB336&lt;=0,"",RANK(AB336,$AB$2:$AB$501,0)+COUNTIFS($AB$2:AB336,AB336)-1)</f>
        <v/>
      </c>
      <c r="AE336">
        <f>IF(AC336&lt;=0,"",RANK(AC336,$AC$2:$AC$501,0)+COUNTIFS($AC$2:AC336,AC336)-1)</f>
        <v/>
      </c>
    </row>
    <row r="337">
      <c r="AA337">
        <f>IFERROR(INDEX(DailyRouteRecordTable[Route],ROW()-1),"")</f>
        <v/>
      </c>
      <c r="AB337">
        <f>IF(AA337="","",IF(COUNTIF($AA$2:AA337,AA337)&gt;1,0,SUMPRODUCT((DailyRouteRecordTable[Route]=AA337)*(IF($B$6="All",1,IFERROR(--MID(DailyRouteRecordTable[Departure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7">
        <f>IF(AA337="","",IF(COUNTIF($AA$2:AA337,AA337)&gt;1,0,SUMPRODUCT((DailyRouteRecordTable[Route]=AA337)*(IF($B$6="All",1,IFERROR(--MID(DailyRouteRecordTable[Departure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7">
        <f>IF(AB337&lt;=0,"",RANK(AB337,$AB$2:$AB$501,0)+COUNTIFS($AB$2:AB337,AB337)-1)</f>
        <v/>
      </c>
      <c r="AE337">
        <f>IF(AC337&lt;=0,"",RANK(AC337,$AC$2:$AC$501,0)+COUNTIFS($AC$2:AC337,AC337)-1)</f>
        <v/>
      </c>
    </row>
    <row r="338">
      <c r="AA338">
        <f>IFERROR(INDEX(DailyRouteRecordTable[Route],ROW()-1),"")</f>
        <v/>
      </c>
      <c r="AB338">
        <f>IF(AA338="","",IF(COUNTIF($AA$2:AA338,AA338)&gt;1,0,SUMPRODUCT((DailyRouteRecordTable[Route]=AA338)*(IF($B$6="All",1,IFERROR(--MID(DailyRouteRecordTable[Departure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8">
        <f>IF(AA338="","",IF(COUNTIF($AA$2:AA338,AA338)&gt;1,0,SUMPRODUCT((DailyRouteRecordTable[Route]=AA338)*(IF($B$6="All",1,IFERROR(--MID(DailyRouteRecordTable[Departure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8">
        <f>IF(AB338&lt;=0,"",RANK(AB338,$AB$2:$AB$501,0)+COUNTIFS($AB$2:AB338,AB338)-1)</f>
        <v/>
      </c>
      <c r="AE338">
        <f>IF(AC338&lt;=0,"",RANK(AC338,$AC$2:$AC$501,0)+COUNTIFS($AC$2:AC338,AC338)-1)</f>
        <v/>
      </c>
    </row>
    <row r="339">
      <c r="AA339">
        <f>IFERROR(INDEX(DailyRouteRecordTable[Route],ROW()-1),"")</f>
        <v/>
      </c>
      <c r="AB339">
        <f>IF(AA339="","",IF(COUNTIF($AA$2:AA339,AA339)&gt;1,0,SUMPRODUCT((DailyRouteRecordTable[Route]=AA339)*(IF($B$6="All",1,IFERROR(--MID(DailyRouteRecordTable[Departure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39">
        <f>IF(AA339="","",IF(COUNTIF($AA$2:AA339,AA339)&gt;1,0,SUMPRODUCT((DailyRouteRecordTable[Route]=AA339)*(IF($B$6="All",1,IFERROR(--MID(DailyRouteRecordTable[Departure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39">
        <f>IF(AB339&lt;=0,"",RANK(AB339,$AB$2:$AB$501,0)+COUNTIFS($AB$2:AB339,AB339)-1)</f>
        <v/>
      </c>
      <c r="AE339">
        <f>IF(AC339&lt;=0,"",RANK(AC339,$AC$2:$AC$501,0)+COUNTIFS($AC$2:AC339,AC339)-1)</f>
        <v/>
      </c>
    </row>
    <row r="340">
      <c r="AA340">
        <f>IFERROR(INDEX(DailyRouteRecordTable[Route],ROW()-1),"")</f>
        <v/>
      </c>
      <c r="AB340">
        <f>IF(AA340="","",IF(COUNTIF($AA$2:AA340,AA340)&gt;1,0,SUMPRODUCT((DailyRouteRecordTable[Route]=AA340)*(IF($B$6="All",1,IFERROR(--MID(DailyRouteRecordTable[Departure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0">
        <f>IF(AA340="","",IF(COUNTIF($AA$2:AA340,AA340)&gt;1,0,SUMPRODUCT((DailyRouteRecordTable[Route]=AA340)*(IF($B$6="All",1,IFERROR(--MID(DailyRouteRecordTable[Departure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0">
        <f>IF(AB340&lt;=0,"",RANK(AB340,$AB$2:$AB$501,0)+COUNTIFS($AB$2:AB340,AB340)-1)</f>
        <v/>
      </c>
      <c r="AE340">
        <f>IF(AC340&lt;=0,"",RANK(AC340,$AC$2:$AC$501,0)+COUNTIFS($AC$2:AC340,AC340)-1)</f>
        <v/>
      </c>
    </row>
    <row r="341">
      <c r="AA341">
        <f>IFERROR(INDEX(DailyRouteRecordTable[Route],ROW()-1),"")</f>
        <v/>
      </c>
      <c r="AB341">
        <f>IF(AA341="","",IF(COUNTIF($AA$2:AA341,AA341)&gt;1,0,SUMPRODUCT((DailyRouteRecordTable[Route]=AA341)*(IF($B$6="All",1,IFERROR(--MID(DailyRouteRecordTable[Departure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1">
        <f>IF(AA341="","",IF(COUNTIF($AA$2:AA341,AA341)&gt;1,0,SUMPRODUCT((DailyRouteRecordTable[Route]=AA341)*(IF($B$6="All",1,IFERROR(--MID(DailyRouteRecordTable[Departure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1">
        <f>IF(AB341&lt;=0,"",RANK(AB341,$AB$2:$AB$501,0)+COUNTIFS($AB$2:AB341,AB341)-1)</f>
        <v/>
      </c>
      <c r="AE341">
        <f>IF(AC341&lt;=0,"",RANK(AC341,$AC$2:$AC$501,0)+COUNTIFS($AC$2:AC341,AC341)-1)</f>
        <v/>
      </c>
    </row>
    <row r="342">
      <c r="AA342">
        <f>IFERROR(INDEX(DailyRouteRecordTable[Route],ROW()-1),"")</f>
        <v/>
      </c>
      <c r="AB342">
        <f>IF(AA342="","",IF(COUNTIF($AA$2:AA342,AA342)&gt;1,0,SUMPRODUCT((DailyRouteRecordTable[Route]=AA342)*(IF($B$6="All",1,IFERROR(--MID(DailyRouteRecordTable[Departure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2">
        <f>IF(AA342="","",IF(COUNTIF($AA$2:AA342,AA342)&gt;1,0,SUMPRODUCT((DailyRouteRecordTable[Route]=AA342)*(IF($B$6="All",1,IFERROR(--MID(DailyRouteRecordTable[Departure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2">
        <f>IF(AB342&lt;=0,"",RANK(AB342,$AB$2:$AB$501,0)+COUNTIFS($AB$2:AB342,AB342)-1)</f>
        <v/>
      </c>
      <c r="AE342">
        <f>IF(AC342&lt;=0,"",RANK(AC342,$AC$2:$AC$501,0)+COUNTIFS($AC$2:AC342,AC342)-1)</f>
        <v/>
      </c>
    </row>
    <row r="343">
      <c r="AA343">
        <f>IFERROR(INDEX(DailyRouteRecordTable[Route],ROW()-1),"")</f>
        <v/>
      </c>
      <c r="AB343">
        <f>IF(AA343="","",IF(COUNTIF($AA$2:AA343,AA343)&gt;1,0,SUMPRODUCT((DailyRouteRecordTable[Route]=AA343)*(IF($B$6="All",1,IFERROR(--MID(DailyRouteRecordTable[Departure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3">
        <f>IF(AA343="","",IF(COUNTIF($AA$2:AA343,AA343)&gt;1,0,SUMPRODUCT((DailyRouteRecordTable[Route]=AA343)*(IF($B$6="All",1,IFERROR(--MID(DailyRouteRecordTable[Departure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3">
        <f>IF(AB343&lt;=0,"",RANK(AB343,$AB$2:$AB$501,0)+COUNTIFS($AB$2:AB343,AB343)-1)</f>
        <v/>
      </c>
      <c r="AE343">
        <f>IF(AC343&lt;=0,"",RANK(AC343,$AC$2:$AC$501,0)+COUNTIFS($AC$2:AC343,AC343)-1)</f>
        <v/>
      </c>
    </row>
    <row r="344">
      <c r="AA344">
        <f>IFERROR(INDEX(DailyRouteRecordTable[Route],ROW()-1),"")</f>
        <v/>
      </c>
      <c r="AB344">
        <f>IF(AA344="","",IF(COUNTIF($AA$2:AA344,AA344)&gt;1,0,SUMPRODUCT((DailyRouteRecordTable[Route]=AA344)*(IF($B$6="All",1,IFERROR(--MID(DailyRouteRecordTable[Departure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4">
        <f>IF(AA344="","",IF(COUNTIF($AA$2:AA344,AA344)&gt;1,0,SUMPRODUCT((DailyRouteRecordTable[Route]=AA344)*(IF($B$6="All",1,IFERROR(--MID(DailyRouteRecordTable[Departure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4">
        <f>IF(AB344&lt;=0,"",RANK(AB344,$AB$2:$AB$501,0)+COUNTIFS($AB$2:AB344,AB344)-1)</f>
        <v/>
      </c>
      <c r="AE344">
        <f>IF(AC344&lt;=0,"",RANK(AC344,$AC$2:$AC$501,0)+COUNTIFS($AC$2:AC344,AC344)-1)</f>
        <v/>
      </c>
    </row>
    <row r="345">
      <c r="AA345">
        <f>IFERROR(INDEX(DailyRouteRecordTable[Route],ROW()-1),"")</f>
        <v/>
      </c>
      <c r="AB345">
        <f>IF(AA345="","",IF(COUNTIF($AA$2:AA345,AA345)&gt;1,0,SUMPRODUCT((DailyRouteRecordTable[Route]=AA345)*(IF($B$6="All",1,IFERROR(--MID(DailyRouteRecordTable[Departure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5">
        <f>IF(AA345="","",IF(COUNTIF($AA$2:AA345,AA345)&gt;1,0,SUMPRODUCT((DailyRouteRecordTable[Route]=AA345)*(IF($B$6="All",1,IFERROR(--MID(DailyRouteRecordTable[Departure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5">
        <f>IF(AB345&lt;=0,"",RANK(AB345,$AB$2:$AB$501,0)+COUNTIFS($AB$2:AB345,AB345)-1)</f>
        <v/>
      </c>
      <c r="AE345">
        <f>IF(AC345&lt;=0,"",RANK(AC345,$AC$2:$AC$501,0)+COUNTIFS($AC$2:AC345,AC345)-1)</f>
        <v/>
      </c>
    </row>
    <row r="346">
      <c r="AA346">
        <f>IFERROR(INDEX(DailyRouteRecordTable[Route],ROW()-1),"")</f>
        <v/>
      </c>
      <c r="AB346">
        <f>IF(AA346="","",IF(COUNTIF($AA$2:AA346,AA346)&gt;1,0,SUMPRODUCT((DailyRouteRecordTable[Route]=AA346)*(IF($B$6="All",1,IFERROR(--MID(DailyRouteRecordTable[Departure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6">
        <f>IF(AA346="","",IF(COUNTIF($AA$2:AA346,AA346)&gt;1,0,SUMPRODUCT((DailyRouteRecordTable[Route]=AA346)*(IF($B$6="All",1,IFERROR(--MID(DailyRouteRecordTable[Departure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6">
        <f>IF(AB346&lt;=0,"",RANK(AB346,$AB$2:$AB$501,0)+COUNTIFS($AB$2:AB346,AB346)-1)</f>
        <v/>
      </c>
      <c r="AE346">
        <f>IF(AC346&lt;=0,"",RANK(AC346,$AC$2:$AC$501,0)+COUNTIFS($AC$2:AC346,AC346)-1)</f>
        <v/>
      </c>
    </row>
    <row r="347">
      <c r="AA347">
        <f>IFERROR(INDEX(DailyRouteRecordTable[Route],ROW()-1),"")</f>
        <v/>
      </c>
      <c r="AB347">
        <f>IF(AA347="","",IF(COUNTIF($AA$2:AA347,AA347)&gt;1,0,SUMPRODUCT((DailyRouteRecordTable[Route]=AA347)*(IF($B$6="All",1,IFERROR(--MID(DailyRouteRecordTable[Departure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7">
        <f>IF(AA347="","",IF(COUNTIF($AA$2:AA347,AA347)&gt;1,0,SUMPRODUCT((DailyRouteRecordTable[Route]=AA347)*(IF($B$6="All",1,IFERROR(--MID(DailyRouteRecordTable[Departure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7">
        <f>IF(AB347&lt;=0,"",RANK(AB347,$AB$2:$AB$501,0)+COUNTIFS($AB$2:AB347,AB347)-1)</f>
        <v/>
      </c>
      <c r="AE347">
        <f>IF(AC347&lt;=0,"",RANK(AC347,$AC$2:$AC$501,0)+COUNTIFS($AC$2:AC347,AC347)-1)</f>
        <v/>
      </c>
    </row>
    <row r="348">
      <c r="AA348">
        <f>IFERROR(INDEX(DailyRouteRecordTable[Route],ROW()-1),"")</f>
        <v/>
      </c>
      <c r="AB348">
        <f>IF(AA348="","",IF(COUNTIF($AA$2:AA348,AA348)&gt;1,0,SUMPRODUCT((DailyRouteRecordTable[Route]=AA348)*(IF($B$6="All",1,IFERROR(--MID(DailyRouteRecordTable[Departure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8">
        <f>IF(AA348="","",IF(COUNTIF($AA$2:AA348,AA348)&gt;1,0,SUMPRODUCT((DailyRouteRecordTable[Route]=AA348)*(IF($B$6="All",1,IFERROR(--MID(DailyRouteRecordTable[Departure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8">
        <f>IF(AB348&lt;=0,"",RANK(AB348,$AB$2:$AB$501,0)+COUNTIFS($AB$2:AB348,AB348)-1)</f>
        <v/>
      </c>
      <c r="AE348">
        <f>IF(AC348&lt;=0,"",RANK(AC348,$AC$2:$AC$501,0)+COUNTIFS($AC$2:AC348,AC348)-1)</f>
        <v/>
      </c>
    </row>
    <row r="349">
      <c r="AA349">
        <f>IFERROR(INDEX(DailyRouteRecordTable[Route],ROW()-1),"")</f>
        <v/>
      </c>
      <c r="AB349">
        <f>IF(AA349="","",IF(COUNTIF($AA$2:AA349,AA349)&gt;1,0,SUMPRODUCT((DailyRouteRecordTable[Route]=AA349)*(IF($B$6="All",1,IFERROR(--MID(DailyRouteRecordTable[Departure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49">
        <f>IF(AA349="","",IF(COUNTIF($AA$2:AA349,AA349)&gt;1,0,SUMPRODUCT((DailyRouteRecordTable[Route]=AA349)*(IF($B$6="All",1,IFERROR(--MID(DailyRouteRecordTable[Departure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49">
        <f>IF(AB349&lt;=0,"",RANK(AB349,$AB$2:$AB$501,0)+COUNTIFS($AB$2:AB349,AB349)-1)</f>
        <v/>
      </c>
      <c r="AE349">
        <f>IF(AC349&lt;=0,"",RANK(AC349,$AC$2:$AC$501,0)+COUNTIFS($AC$2:AC349,AC349)-1)</f>
        <v/>
      </c>
    </row>
    <row r="350">
      <c r="AA350">
        <f>IFERROR(INDEX(DailyRouteRecordTable[Route],ROW()-1),"")</f>
        <v/>
      </c>
      <c r="AB350">
        <f>IF(AA350="","",IF(COUNTIF($AA$2:AA350,AA350)&gt;1,0,SUMPRODUCT((DailyRouteRecordTable[Route]=AA350)*(IF($B$6="All",1,IFERROR(--MID(DailyRouteRecordTable[Departure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0">
        <f>IF(AA350="","",IF(COUNTIF($AA$2:AA350,AA350)&gt;1,0,SUMPRODUCT((DailyRouteRecordTable[Route]=AA350)*(IF($B$6="All",1,IFERROR(--MID(DailyRouteRecordTable[Departure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0">
        <f>IF(AB350&lt;=0,"",RANK(AB350,$AB$2:$AB$501,0)+COUNTIFS($AB$2:AB350,AB350)-1)</f>
        <v/>
      </c>
      <c r="AE350">
        <f>IF(AC350&lt;=0,"",RANK(AC350,$AC$2:$AC$501,0)+COUNTIFS($AC$2:AC350,AC350)-1)</f>
        <v/>
      </c>
    </row>
    <row r="351">
      <c r="AA351">
        <f>IFERROR(INDEX(DailyRouteRecordTable[Route],ROW()-1),"")</f>
        <v/>
      </c>
      <c r="AB351">
        <f>IF(AA351="","",IF(COUNTIF($AA$2:AA351,AA351)&gt;1,0,SUMPRODUCT((DailyRouteRecordTable[Route]=AA351)*(IF($B$6="All",1,IFERROR(--MID(DailyRouteRecordTable[Departure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1">
        <f>IF(AA351="","",IF(COUNTIF($AA$2:AA351,AA351)&gt;1,0,SUMPRODUCT((DailyRouteRecordTable[Route]=AA351)*(IF($B$6="All",1,IFERROR(--MID(DailyRouteRecordTable[Departure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1">
        <f>IF(AB351&lt;=0,"",RANK(AB351,$AB$2:$AB$501,0)+COUNTIFS($AB$2:AB351,AB351)-1)</f>
        <v/>
      </c>
      <c r="AE351">
        <f>IF(AC351&lt;=0,"",RANK(AC351,$AC$2:$AC$501,0)+COUNTIFS($AC$2:AC351,AC351)-1)</f>
        <v/>
      </c>
    </row>
    <row r="352">
      <c r="AA352">
        <f>IFERROR(INDEX(DailyRouteRecordTable[Route],ROW()-1),"")</f>
        <v/>
      </c>
      <c r="AB352">
        <f>IF(AA352="","",IF(COUNTIF($AA$2:AA352,AA352)&gt;1,0,SUMPRODUCT((DailyRouteRecordTable[Route]=AA352)*(IF($B$6="All",1,IFERROR(--MID(DailyRouteRecordTable[Departure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2">
        <f>IF(AA352="","",IF(COUNTIF($AA$2:AA352,AA352)&gt;1,0,SUMPRODUCT((DailyRouteRecordTable[Route]=AA352)*(IF($B$6="All",1,IFERROR(--MID(DailyRouteRecordTable[Departure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2">
        <f>IF(AB352&lt;=0,"",RANK(AB352,$AB$2:$AB$501,0)+COUNTIFS($AB$2:AB352,AB352)-1)</f>
        <v/>
      </c>
      <c r="AE352">
        <f>IF(AC352&lt;=0,"",RANK(AC352,$AC$2:$AC$501,0)+COUNTIFS($AC$2:AC352,AC352)-1)</f>
        <v/>
      </c>
    </row>
    <row r="353">
      <c r="AA353">
        <f>IFERROR(INDEX(DailyRouteRecordTable[Route],ROW()-1),"")</f>
        <v/>
      </c>
      <c r="AB353">
        <f>IF(AA353="","",IF(COUNTIF($AA$2:AA353,AA353)&gt;1,0,SUMPRODUCT((DailyRouteRecordTable[Route]=AA353)*(IF($B$6="All",1,IFERROR(--MID(DailyRouteRecordTable[Departure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3">
        <f>IF(AA353="","",IF(COUNTIF($AA$2:AA353,AA353)&gt;1,0,SUMPRODUCT((DailyRouteRecordTable[Route]=AA353)*(IF($B$6="All",1,IFERROR(--MID(DailyRouteRecordTable[Departure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3">
        <f>IF(AB353&lt;=0,"",RANK(AB353,$AB$2:$AB$501,0)+COUNTIFS($AB$2:AB353,AB353)-1)</f>
        <v/>
      </c>
      <c r="AE353">
        <f>IF(AC353&lt;=0,"",RANK(AC353,$AC$2:$AC$501,0)+COUNTIFS($AC$2:AC353,AC353)-1)</f>
        <v/>
      </c>
    </row>
    <row r="354">
      <c r="AA354">
        <f>IFERROR(INDEX(DailyRouteRecordTable[Route],ROW()-1),"")</f>
        <v/>
      </c>
      <c r="AB354">
        <f>IF(AA354="","",IF(COUNTIF($AA$2:AA354,AA354)&gt;1,0,SUMPRODUCT((DailyRouteRecordTable[Route]=AA354)*(IF($B$6="All",1,IFERROR(--MID(DailyRouteRecordTable[Departure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4">
        <f>IF(AA354="","",IF(COUNTIF($AA$2:AA354,AA354)&gt;1,0,SUMPRODUCT((DailyRouteRecordTable[Route]=AA354)*(IF($B$6="All",1,IFERROR(--MID(DailyRouteRecordTable[Departure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4">
        <f>IF(AB354&lt;=0,"",RANK(AB354,$AB$2:$AB$501,0)+COUNTIFS($AB$2:AB354,AB354)-1)</f>
        <v/>
      </c>
      <c r="AE354">
        <f>IF(AC354&lt;=0,"",RANK(AC354,$AC$2:$AC$501,0)+COUNTIFS($AC$2:AC354,AC354)-1)</f>
        <v/>
      </c>
    </row>
    <row r="355">
      <c r="AA355">
        <f>IFERROR(INDEX(DailyRouteRecordTable[Route],ROW()-1),"")</f>
        <v/>
      </c>
      <c r="AB355">
        <f>IF(AA355="","",IF(COUNTIF($AA$2:AA355,AA355)&gt;1,0,SUMPRODUCT((DailyRouteRecordTable[Route]=AA355)*(IF($B$6="All",1,IFERROR(--MID(DailyRouteRecordTable[Departure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5">
        <f>IF(AA355="","",IF(COUNTIF($AA$2:AA355,AA355)&gt;1,0,SUMPRODUCT((DailyRouteRecordTable[Route]=AA355)*(IF($B$6="All",1,IFERROR(--MID(DailyRouteRecordTable[Departure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5">
        <f>IF(AB355&lt;=0,"",RANK(AB355,$AB$2:$AB$501,0)+COUNTIFS($AB$2:AB355,AB355)-1)</f>
        <v/>
      </c>
      <c r="AE355">
        <f>IF(AC355&lt;=0,"",RANK(AC355,$AC$2:$AC$501,0)+COUNTIFS($AC$2:AC355,AC355)-1)</f>
        <v/>
      </c>
    </row>
    <row r="356">
      <c r="AA356">
        <f>IFERROR(INDEX(DailyRouteRecordTable[Route],ROW()-1),"")</f>
        <v/>
      </c>
      <c r="AB356">
        <f>IF(AA356="","",IF(COUNTIF($AA$2:AA356,AA356)&gt;1,0,SUMPRODUCT((DailyRouteRecordTable[Route]=AA356)*(IF($B$6="All",1,IFERROR(--MID(DailyRouteRecordTable[Departure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6">
        <f>IF(AA356="","",IF(COUNTIF($AA$2:AA356,AA356)&gt;1,0,SUMPRODUCT((DailyRouteRecordTable[Route]=AA356)*(IF($B$6="All",1,IFERROR(--MID(DailyRouteRecordTable[Departure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6">
        <f>IF(AB356&lt;=0,"",RANK(AB356,$AB$2:$AB$501,0)+COUNTIFS($AB$2:AB356,AB356)-1)</f>
        <v/>
      </c>
      <c r="AE356">
        <f>IF(AC356&lt;=0,"",RANK(AC356,$AC$2:$AC$501,0)+COUNTIFS($AC$2:AC356,AC356)-1)</f>
        <v/>
      </c>
    </row>
    <row r="357">
      <c r="AA357">
        <f>IFERROR(INDEX(DailyRouteRecordTable[Route],ROW()-1),"")</f>
        <v/>
      </c>
      <c r="AB357">
        <f>IF(AA357="","",IF(COUNTIF($AA$2:AA357,AA357)&gt;1,0,SUMPRODUCT((DailyRouteRecordTable[Route]=AA357)*(IF($B$6="All",1,IFERROR(--MID(DailyRouteRecordTable[Departure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7">
        <f>IF(AA357="","",IF(COUNTIF($AA$2:AA357,AA357)&gt;1,0,SUMPRODUCT((DailyRouteRecordTable[Route]=AA357)*(IF($B$6="All",1,IFERROR(--MID(DailyRouteRecordTable[Departure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7">
        <f>IF(AB357&lt;=0,"",RANK(AB357,$AB$2:$AB$501,0)+COUNTIFS($AB$2:AB357,AB357)-1)</f>
        <v/>
      </c>
      <c r="AE357">
        <f>IF(AC357&lt;=0,"",RANK(AC357,$AC$2:$AC$501,0)+COUNTIFS($AC$2:AC357,AC357)-1)</f>
        <v/>
      </c>
    </row>
    <row r="358">
      <c r="AA358">
        <f>IFERROR(INDEX(DailyRouteRecordTable[Route],ROW()-1),"")</f>
        <v/>
      </c>
      <c r="AB358">
        <f>IF(AA358="","",IF(COUNTIF($AA$2:AA358,AA358)&gt;1,0,SUMPRODUCT((DailyRouteRecordTable[Route]=AA358)*(IF($B$6="All",1,IFERROR(--MID(DailyRouteRecordTable[Departure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8">
        <f>IF(AA358="","",IF(COUNTIF($AA$2:AA358,AA358)&gt;1,0,SUMPRODUCT((DailyRouteRecordTable[Route]=AA358)*(IF($B$6="All",1,IFERROR(--MID(DailyRouteRecordTable[Departure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8">
        <f>IF(AB358&lt;=0,"",RANK(AB358,$AB$2:$AB$501,0)+COUNTIFS($AB$2:AB358,AB358)-1)</f>
        <v/>
      </c>
      <c r="AE358">
        <f>IF(AC358&lt;=0,"",RANK(AC358,$AC$2:$AC$501,0)+COUNTIFS($AC$2:AC358,AC358)-1)</f>
        <v/>
      </c>
    </row>
    <row r="359">
      <c r="AA359">
        <f>IFERROR(INDEX(DailyRouteRecordTable[Route],ROW()-1),"")</f>
        <v/>
      </c>
      <c r="AB359">
        <f>IF(AA359="","",IF(COUNTIF($AA$2:AA359,AA359)&gt;1,0,SUMPRODUCT((DailyRouteRecordTable[Route]=AA359)*(IF($B$6="All",1,IFERROR(--MID(DailyRouteRecordTable[Departure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59">
        <f>IF(AA359="","",IF(COUNTIF($AA$2:AA359,AA359)&gt;1,0,SUMPRODUCT((DailyRouteRecordTable[Route]=AA359)*(IF($B$6="All",1,IFERROR(--MID(DailyRouteRecordTable[Departure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59">
        <f>IF(AB359&lt;=0,"",RANK(AB359,$AB$2:$AB$501,0)+COUNTIFS($AB$2:AB359,AB359)-1)</f>
        <v/>
      </c>
      <c r="AE359">
        <f>IF(AC359&lt;=0,"",RANK(AC359,$AC$2:$AC$501,0)+COUNTIFS($AC$2:AC359,AC359)-1)</f>
        <v/>
      </c>
    </row>
    <row r="360">
      <c r="AA360">
        <f>IFERROR(INDEX(DailyRouteRecordTable[Route],ROW()-1),"")</f>
        <v/>
      </c>
      <c r="AB360">
        <f>IF(AA360="","",IF(COUNTIF($AA$2:AA360,AA360)&gt;1,0,SUMPRODUCT((DailyRouteRecordTable[Route]=AA360)*(IF($B$6="All",1,IFERROR(--MID(DailyRouteRecordTable[Departure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0">
        <f>IF(AA360="","",IF(COUNTIF($AA$2:AA360,AA360)&gt;1,0,SUMPRODUCT((DailyRouteRecordTable[Route]=AA360)*(IF($B$6="All",1,IFERROR(--MID(DailyRouteRecordTable[Departure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0">
        <f>IF(AB360&lt;=0,"",RANK(AB360,$AB$2:$AB$501,0)+COUNTIFS($AB$2:AB360,AB360)-1)</f>
        <v/>
      </c>
      <c r="AE360">
        <f>IF(AC360&lt;=0,"",RANK(AC360,$AC$2:$AC$501,0)+COUNTIFS($AC$2:AC360,AC360)-1)</f>
        <v/>
      </c>
    </row>
    <row r="361">
      <c r="AA361">
        <f>IFERROR(INDEX(DailyRouteRecordTable[Route],ROW()-1),"")</f>
        <v/>
      </c>
      <c r="AB361">
        <f>IF(AA361="","",IF(COUNTIF($AA$2:AA361,AA361)&gt;1,0,SUMPRODUCT((DailyRouteRecordTable[Route]=AA361)*(IF($B$6="All",1,IFERROR(--MID(DailyRouteRecordTable[Departure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1">
        <f>IF(AA361="","",IF(COUNTIF($AA$2:AA361,AA361)&gt;1,0,SUMPRODUCT((DailyRouteRecordTable[Route]=AA361)*(IF($B$6="All",1,IFERROR(--MID(DailyRouteRecordTable[Departure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1">
        <f>IF(AB361&lt;=0,"",RANK(AB361,$AB$2:$AB$501,0)+COUNTIFS($AB$2:AB361,AB361)-1)</f>
        <v/>
      </c>
      <c r="AE361">
        <f>IF(AC361&lt;=0,"",RANK(AC361,$AC$2:$AC$501,0)+COUNTIFS($AC$2:AC361,AC361)-1)</f>
        <v/>
      </c>
    </row>
    <row r="362">
      <c r="AA362">
        <f>IFERROR(INDEX(DailyRouteRecordTable[Route],ROW()-1),"")</f>
        <v/>
      </c>
      <c r="AB362">
        <f>IF(AA362="","",IF(COUNTIF($AA$2:AA362,AA362)&gt;1,0,SUMPRODUCT((DailyRouteRecordTable[Route]=AA362)*(IF($B$6="All",1,IFERROR(--MID(DailyRouteRecordTable[Departure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2">
        <f>IF(AA362="","",IF(COUNTIF($AA$2:AA362,AA362)&gt;1,0,SUMPRODUCT((DailyRouteRecordTable[Route]=AA362)*(IF($B$6="All",1,IFERROR(--MID(DailyRouteRecordTable[Departure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2">
        <f>IF(AB362&lt;=0,"",RANK(AB362,$AB$2:$AB$501,0)+COUNTIFS($AB$2:AB362,AB362)-1)</f>
        <v/>
      </c>
      <c r="AE362">
        <f>IF(AC362&lt;=0,"",RANK(AC362,$AC$2:$AC$501,0)+COUNTIFS($AC$2:AC362,AC362)-1)</f>
        <v/>
      </c>
    </row>
    <row r="363">
      <c r="AA363">
        <f>IFERROR(INDEX(DailyRouteRecordTable[Route],ROW()-1),"")</f>
        <v/>
      </c>
      <c r="AB363">
        <f>IF(AA363="","",IF(COUNTIF($AA$2:AA363,AA363)&gt;1,0,SUMPRODUCT((DailyRouteRecordTable[Route]=AA363)*(IF($B$6="All",1,IFERROR(--MID(DailyRouteRecordTable[Departure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3">
        <f>IF(AA363="","",IF(COUNTIF($AA$2:AA363,AA363)&gt;1,0,SUMPRODUCT((DailyRouteRecordTable[Route]=AA363)*(IF($B$6="All",1,IFERROR(--MID(DailyRouteRecordTable[Departure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3">
        <f>IF(AB363&lt;=0,"",RANK(AB363,$AB$2:$AB$501,0)+COUNTIFS($AB$2:AB363,AB363)-1)</f>
        <v/>
      </c>
      <c r="AE363">
        <f>IF(AC363&lt;=0,"",RANK(AC363,$AC$2:$AC$501,0)+COUNTIFS($AC$2:AC363,AC363)-1)</f>
        <v/>
      </c>
    </row>
    <row r="364">
      <c r="AA364">
        <f>IFERROR(INDEX(DailyRouteRecordTable[Route],ROW()-1),"")</f>
        <v/>
      </c>
      <c r="AB364">
        <f>IF(AA364="","",IF(COUNTIF($AA$2:AA364,AA364)&gt;1,0,SUMPRODUCT((DailyRouteRecordTable[Route]=AA364)*(IF($B$6="All",1,IFERROR(--MID(DailyRouteRecordTable[Departure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4">
        <f>IF(AA364="","",IF(COUNTIF($AA$2:AA364,AA364)&gt;1,0,SUMPRODUCT((DailyRouteRecordTable[Route]=AA364)*(IF($B$6="All",1,IFERROR(--MID(DailyRouteRecordTable[Departure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4">
        <f>IF(AB364&lt;=0,"",RANK(AB364,$AB$2:$AB$501,0)+COUNTIFS($AB$2:AB364,AB364)-1)</f>
        <v/>
      </c>
      <c r="AE364">
        <f>IF(AC364&lt;=0,"",RANK(AC364,$AC$2:$AC$501,0)+COUNTIFS($AC$2:AC364,AC364)-1)</f>
        <v/>
      </c>
    </row>
    <row r="365">
      <c r="AA365">
        <f>IFERROR(INDEX(DailyRouteRecordTable[Route],ROW()-1),"")</f>
        <v/>
      </c>
      <c r="AB365">
        <f>IF(AA365="","",IF(COUNTIF($AA$2:AA365,AA365)&gt;1,0,SUMPRODUCT((DailyRouteRecordTable[Route]=AA365)*(IF($B$6="All",1,IFERROR(--MID(DailyRouteRecordTable[Departure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5">
        <f>IF(AA365="","",IF(COUNTIF($AA$2:AA365,AA365)&gt;1,0,SUMPRODUCT((DailyRouteRecordTable[Route]=AA365)*(IF($B$6="All",1,IFERROR(--MID(DailyRouteRecordTable[Departure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5">
        <f>IF(AB365&lt;=0,"",RANK(AB365,$AB$2:$AB$501,0)+COUNTIFS($AB$2:AB365,AB365)-1)</f>
        <v/>
      </c>
      <c r="AE365">
        <f>IF(AC365&lt;=0,"",RANK(AC365,$AC$2:$AC$501,0)+COUNTIFS($AC$2:AC365,AC365)-1)</f>
        <v/>
      </c>
    </row>
    <row r="366">
      <c r="AA366">
        <f>IFERROR(INDEX(DailyRouteRecordTable[Route],ROW()-1),"")</f>
        <v/>
      </c>
      <c r="AB366">
        <f>IF(AA366="","",IF(COUNTIF($AA$2:AA366,AA366)&gt;1,0,SUMPRODUCT((DailyRouteRecordTable[Route]=AA366)*(IF($B$6="All",1,IFERROR(--MID(DailyRouteRecordTable[Departure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6">
        <f>IF(AA366="","",IF(COUNTIF($AA$2:AA366,AA366)&gt;1,0,SUMPRODUCT((DailyRouteRecordTable[Route]=AA366)*(IF($B$6="All",1,IFERROR(--MID(DailyRouteRecordTable[Departure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6">
        <f>IF(AB366&lt;=0,"",RANK(AB366,$AB$2:$AB$501,0)+COUNTIFS($AB$2:AB366,AB366)-1)</f>
        <v/>
      </c>
      <c r="AE366">
        <f>IF(AC366&lt;=0,"",RANK(AC366,$AC$2:$AC$501,0)+COUNTIFS($AC$2:AC366,AC366)-1)</f>
        <v/>
      </c>
    </row>
    <row r="367">
      <c r="AA367">
        <f>IFERROR(INDEX(DailyRouteRecordTable[Route],ROW()-1),"")</f>
        <v/>
      </c>
      <c r="AB367">
        <f>IF(AA367="","",IF(COUNTIF($AA$2:AA367,AA367)&gt;1,0,SUMPRODUCT((DailyRouteRecordTable[Route]=AA367)*(IF($B$6="All",1,IFERROR(--MID(DailyRouteRecordTable[Departure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7">
        <f>IF(AA367="","",IF(COUNTIF($AA$2:AA367,AA367)&gt;1,0,SUMPRODUCT((DailyRouteRecordTable[Route]=AA367)*(IF($B$6="All",1,IFERROR(--MID(DailyRouteRecordTable[Departure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7">
        <f>IF(AB367&lt;=0,"",RANK(AB367,$AB$2:$AB$501,0)+COUNTIFS($AB$2:AB367,AB367)-1)</f>
        <v/>
      </c>
      <c r="AE367">
        <f>IF(AC367&lt;=0,"",RANK(AC367,$AC$2:$AC$501,0)+COUNTIFS($AC$2:AC367,AC367)-1)</f>
        <v/>
      </c>
    </row>
    <row r="368">
      <c r="AA368">
        <f>IFERROR(INDEX(DailyRouteRecordTable[Route],ROW()-1),"")</f>
        <v/>
      </c>
      <c r="AB368">
        <f>IF(AA368="","",IF(COUNTIF($AA$2:AA368,AA368)&gt;1,0,SUMPRODUCT((DailyRouteRecordTable[Route]=AA368)*(IF($B$6="All",1,IFERROR(--MID(DailyRouteRecordTable[Departure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8">
        <f>IF(AA368="","",IF(COUNTIF($AA$2:AA368,AA368)&gt;1,0,SUMPRODUCT((DailyRouteRecordTable[Route]=AA368)*(IF($B$6="All",1,IFERROR(--MID(DailyRouteRecordTable[Departure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8">
        <f>IF(AB368&lt;=0,"",RANK(AB368,$AB$2:$AB$501,0)+COUNTIFS($AB$2:AB368,AB368)-1)</f>
        <v/>
      </c>
      <c r="AE368">
        <f>IF(AC368&lt;=0,"",RANK(AC368,$AC$2:$AC$501,0)+COUNTIFS($AC$2:AC368,AC368)-1)</f>
        <v/>
      </c>
    </row>
    <row r="369">
      <c r="AA369">
        <f>IFERROR(INDEX(DailyRouteRecordTable[Route],ROW()-1),"")</f>
        <v/>
      </c>
      <c r="AB369">
        <f>IF(AA369="","",IF(COUNTIF($AA$2:AA369,AA369)&gt;1,0,SUMPRODUCT((DailyRouteRecordTable[Route]=AA369)*(IF($B$6="All",1,IFERROR(--MID(DailyRouteRecordTable[Departure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69">
        <f>IF(AA369="","",IF(COUNTIF($AA$2:AA369,AA369)&gt;1,0,SUMPRODUCT((DailyRouteRecordTable[Route]=AA369)*(IF($B$6="All",1,IFERROR(--MID(DailyRouteRecordTable[Departure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69">
        <f>IF(AB369&lt;=0,"",RANK(AB369,$AB$2:$AB$501,0)+COUNTIFS($AB$2:AB369,AB369)-1)</f>
        <v/>
      </c>
      <c r="AE369">
        <f>IF(AC369&lt;=0,"",RANK(AC369,$AC$2:$AC$501,0)+COUNTIFS($AC$2:AC369,AC369)-1)</f>
        <v/>
      </c>
    </row>
    <row r="370">
      <c r="AA370">
        <f>IFERROR(INDEX(DailyRouteRecordTable[Route],ROW()-1),"")</f>
        <v/>
      </c>
      <c r="AB370">
        <f>IF(AA370="","",IF(COUNTIF($AA$2:AA370,AA370)&gt;1,0,SUMPRODUCT((DailyRouteRecordTable[Route]=AA370)*(IF($B$6="All",1,IFERROR(--MID(DailyRouteRecordTable[Departure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0">
        <f>IF(AA370="","",IF(COUNTIF($AA$2:AA370,AA370)&gt;1,0,SUMPRODUCT((DailyRouteRecordTable[Route]=AA370)*(IF($B$6="All",1,IFERROR(--MID(DailyRouteRecordTable[Departure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0">
        <f>IF(AB370&lt;=0,"",RANK(AB370,$AB$2:$AB$501,0)+COUNTIFS($AB$2:AB370,AB370)-1)</f>
        <v/>
      </c>
      <c r="AE370">
        <f>IF(AC370&lt;=0,"",RANK(AC370,$AC$2:$AC$501,0)+COUNTIFS($AC$2:AC370,AC370)-1)</f>
        <v/>
      </c>
    </row>
    <row r="371">
      <c r="AA371">
        <f>IFERROR(INDEX(DailyRouteRecordTable[Route],ROW()-1),"")</f>
        <v/>
      </c>
      <c r="AB371">
        <f>IF(AA371="","",IF(COUNTIF($AA$2:AA371,AA371)&gt;1,0,SUMPRODUCT((DailyRouteRecordTable[Route]=AA371)*(IF($B$6="All",1,IFERROR(--MID(DailyRouteRecordTable[Departure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1">
        <f>IF(AA371="","",IF(COUNTIF($AA$2:AA371,AA371)&gt;1,0,SUMPRODUCT((DailyRouteRecordTable[Route]=AA371)*(IF($B$6="All",1,IFERROR(--MID(DailyRouteRecordTable[Departure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1">
        <f>IF(AB371&lt;=0,"",RANK(AB371,$AB$2:$AB$501,0)+COUNTIFS($AB$2:AB371,AB371)-1)</f>
        <v/>
      </c>
      <c r="AE371">
        <f>IF(AC371&lt;=0,"",RANK(AC371,$AC$2:$AC$501,0)+COUNTIFS($AC$2:AC371,AC371)-1)</f>
        <v/>
      </c>
    </row>
    <row r="372">
      <c r="AA372">
        <f>IFERROR(INDEX(DailyRouteRecordTable[Route],ROW()-1),"")</f>
        <v/>
      </c>
      <c r="AB372">
        <f>IF(AA372="","",IF(COUNTIF($AA$2:AA372,AA372)&gt;1,0,SUMPRODUCT((DailyRouteRecordTable[Route]=AA372)*(IF($B$6="All",1,IFERROR(--MID(DailyRouteRecordTable[Departure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2">
        <f>IF(AA372="","",IF(COUNTIF($AA$2:AA372,AA372)&gt;1,0,SUMPRODUCT((DailyRouteRecordTable[Route]=AA372)*(IF($B$6="All",1,IFERROR(--MID(DailyRouteRecordTable[Departure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2">
        <f>IF(AB372&lt;=0,"",RANK(AB372,$AB$2:$AB$501,0)+COUNTIFS($AB$2:AB372,AB372)-1)</f>
        <v/>
      </c>
      <c r="AE372">
        <f>IF(AC372&lt;=0,"",RANK(AC372,$AC$2:$AC$501,0)+COUNTIFS($AC$2:AC372,AC372)-1)</f>
        <v/>
      </c>
    </row>
    <row r="373">
      <c r="AA373">
        <f>IFERROR(INDEX(DailyRouteRecordTable[Route],ROW()-1),"")</f>
        <v/>
      </c>
      <c r="AB373">
        <f>IF(AA373="","",IF(COUNTIF($AA$2:AA373,AA373)&gt;1,0,SUMPRODUCT((DailyRouteRecordTable[Route]=AA373)*(IF($B$6="All",1,IFERROR(--MID(DailyRouteRecordTable[Departure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3">
        <f>IF(AA373="","",IF(COUNTIF($AA$2:AA373,AA373)&gt;1,0,SUMPRODUCT((DailyRouteRecordTable[Route]=AA373)*(IF($B$6="All",1,IFERROR(--MID(DailyRouteRecordTable[Departure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3">
        <f>IF(AB373&lt;=0,"",RANK(AB373,$AB$2:$AB$501,0)+COUNTIFS($AB$2:AB373,AB373)-1)</f>
        <v/>
      </c>
      <c r="AE373">
        <f>IF(AC373&lt;=0,"",RANK(AC373,$AC$2:$AC$501,0)+COUNTIFS($AC$2:AC373,AC373)-1)</f>
        <v/>
      </c>
    </row>
    <row r="374">
      <c r="AA374">
        <f>IFERROR(INDEX(DailyRouteRecordTable[Route],ROW()-1),"")</f>
        <v/>
      </c>
      <c r="AB374">
        <f>IF(AA374="","",IF(COUNTIF($AA$2:AA374,AA374)&gt;1,0,SUMPRODUCT((DailyRouteRecordTable[Route]=AA374)*(IF($B$6="All",1,IFERROR(--MID(DailyRouteRecordTable[Departure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4">
        <f>IF(AA374="","",IF(COUNTIF($AA$2:AA374,AA374)&gt;1,0,SUMPRODUCT((DailyRouteRecordTable[Route]=AA374)*(IF($B$6="All",1,IFERROR(--MID(DailyRouteRecordTable[Departure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4">
        <f>IF(AB374&lt;=0,"",RANK(AB374,$AB$2:$AB$501,0)+COUNTIFS($AB$2:AB374,AB374)-1)</f>
        <v/>
      </c>
      <c r="AE374">
        <f>IF(AC374&lt;=0,"",RANK(AC374,$AC$2:$AC$501,0)+COUNTIFS($AC$2:AC374,AC374)-1)</f>
        <v/>
      </c>
    </row>
    <row r="375">
      <c r="AA375">
        <f>IFERROR(INDEX(DailyRouteRecordTable[Route],ROW()-1),"")</f>
        <v/>
      </c>
      <c r="AB375">
        <f>IF(AA375="","",IF(COUNTIF($AA$2:AA375,AA375)&gt;1,0,SUMPRODUCT((DailyRouteRecordTable[Route]=AA375)*(IF($B$6="All",1,IFERROR(--MID(DailyRouteRecordTable[Departure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5">
        <f>IF(AA375="","",IF(COUNTIF($AA$2:AA375,AA375)&gt;1,0,SUMPRODUCT((DailyRouteRecordTable[Route]=AA375)*(IF($B$6="All",1,IFERROR(--MID(DailyRouteRecordTable[Departure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5">
        <f>IF(AB375&lt;=0,"",RANK(AB375,$AB$2:$AB$501,0)+COUNTIFS($AB$2:AB375,AB375)-1)</f>
        <v/>
      </c>
      <c r="AE375">
        <f>IF(AC375&lt;=0,"",RANK(AC375,$AC$2:$AC$501,0)+COUNTIFS($AC$2:AC375,AC375)-1)</f>
        <v/>
      </c>
    </row>
    <row r="376">
      <c r="AA376">
        <f>IFERROR(INDEX(DailyRouteRecordTable[Route],ROW()-1),"")</f>
        <v/>
      </c>
      <c r="AB376">
        <f>IF(AA376="","",IF(COUNTIF($AA$2:AA376,AA376)&gt;1,0,SUMPRODUCT((DailyRouteRecordTable[Route]=AA376)*(IF($B$6="All",1,IFERROR(--MID(DailyRouteRecordTable[Departure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6">
        <f>IF(AA376="","",IF(COUNTIF($AA$2:AA376,AA376)&gt;1,0,SUMPRODUCT((DailyRouteRecordTable[Route]=AA376)*(IF($B$6="All",1,IFERROR(--MID(DailyRouteRecordTable[Departure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6">
        <f>IF(AB376&lt;=0,"",RANK(AB376,$AB$2:$AB$501,0)+COUNTIFS($AB$2:AB376,AB376)-1)</f>
        <v/>
      </c>
      <c r="AE376">
        <f>IF(AC376&lt;=0,"",RANK(AC376,$AC$2:$AC$501,0)+COUNTIFS($AC$2:AC376,AC376)-1)</f>
        <v/>
      </c>
    </row>
    <row r="377">
      <c r="AA377">
        <f>IFERROR(INDEX(DailyRouteRecordTable[Route],ROW()-1),"")</f>
        <v/>
      </c>
      <c r="AB377">
        <f>IF(AA377="","",IF(COUNTIF($AA$2:AA377,AA377)&gt;1,0,SUMPRODUCT((DailyRouteRecordTable[Route]=AA377)*(IF($B$6="All",1,IFERROR(--MID(DailyRouteRecordTable[Departure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7">
        <f>IF(AA377="","",IF(COUNTIF($AA$2:AA377,AA377)&gt;1,0,SUMPRODUCT((DailyRouteRecordTable[Route]=AA377)*(IF($B$6="All",1,IFERROR(--MID(DailyRouteRecordTable[Departure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7">
        <f>IF(AB377&lt;=0,"",RANK(AB377,$AB$2:$AB$501,0)+COUNTIFS($AB$2:AB377,AB377)-1)</f>
        <v/>
      </c>
      <c r="AE377">
        <f>IF(AC377&lt;=0,"",RANK(AC377,$AC$2:$AC$501,0)+COUNTIFS($AC$2:AC377,AC377)-1)</f>
        <v/>
      </c>
    </row>
    <row r="378">
      <c r="AA378">
        <f>IFERROR(INDEX(DailyRouteRecordTable[Route],ROW()-1),"")</f>
        <v/>
      </c>
      <c r="AB378">
        <f>IF(AA378="","",IF(COUNTIF($AA$2:AA378,AA378)&gt;1,0,SUMPRODUCT((DailyRouteRecordTable[Route]=AA378)*(IF($B$6="All",1,IFERROR(--MID(DailyRouteRecordTable[Departure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8">
        <f>IF(AA378="","",IF(COUNTIF($AA$2:AA378,AA378)&gt;1,0,SUMPRODUCT((DailyRouteRecordTable[Route]=AA378)*(IF($B$6="All",1,IFERROR(--MID(DailyRouteRecordTable[Departure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8">
        <f>IF(AB378&lt;=0,"",RANK(AB378,$AB$2:$AB$501,0)+COUNTIFS($AB$2:AB378,AB378)-1)</f>
        <v/>
      </c>
      <c r="AE378">
        <f>IF(AC378&lt;=0,"",RANK(AC378,$AC$2:$AC$501,0)+COUNTIFS($AC$2:AC378,AC378)-1)</f>
        <v/>
      </c>
    </row>
    <row r="379">
      <c r="AA379">
        <f>IFERROR(INDEX(DailyRouteRecordTable[Route],ROW()-1),"")</f>
        <v/>
      </c>
      <c r="AB379">
        <f>IF(AA379="","",IF(COUNTIF($AA$2:AA379,AA379)&gt;1,0,SUMPRODUCT((DailyRouteRecordTable[Route]=AA379)*(IF($B$6="All",1,IFERROR(--MID(DailyRouteRecordTable[Departure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79">
        <f>IF(AA379="","",IF(COUNTIF($AA$2:AA379,AA379)&gt;1,0,SUMPRODUCT((DailyRouteRecordTable[Route]=AA379)*(IF($B$6="All",1,IFERROR(--MID(DailyRouteRecordTable[Departure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79">
        <f>IF(AB379&lt;=0,"",RANK(AB379,$AB$2:$AB$501,0)+COUNTIFS($AB$2:AB379,AB379)-1)</f>
        <v/>
      </c>
      <c r="AE379">
        <f>IF(AC379&lt;=0,"",RANK(AC379,$AC$2:$AC$501,0)+COUNTIFS($AC$2:AC379,AC379)-1)</f>
        <v/>
      </c>
    </row>
    <row r="380">
      <c r="AA380">
        <f>IFERROR(INDEX(DailyRouteRecordTable[Route],ROW()-1),"")</f>
        <v/>
      </c>
      <c r="AB380">
        <f>IF(AA380="","",IF(COUNTIF($AA$2:AA380,AA380)&gt;1,0,SUMPRODUCT((DailyRouteRecordTable[Route]=AA380)*(IF($B$6="All",1,IFERROR(--MID(DailyRouteRecordTable[Departure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0">
        <f>IF(AA380="","",IF(COUNTIF($AA$2:AA380,AA380)&gt;1,0,SUMPRODUCT((DailyRouteRecordTable[Route]=AA380)*(IF($B$6="All",1,IFERROR(--MID(DailyRouteRecordTable[Departure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0">
        <f>IF(AB380&lt;=0,"",RANK(AB380,$AB$2:$AB$501,0)+COUNTIFS($AB$2:AB380,AB380)-1)</f>
        <v/>
      </c>
      <c r="AE380">
        <f>IF(AC380&lt;=0,"",RANK(AC380,$AC$2:$AC$501,0)+COUNTIFS($AC$2:AC380,AC380)-1)</f>
        <v/>
      </c>
    </row>
    <row r="381">
      <c r="AA381">
        <f>IFERROR(INDEX(DailyRouteRecordTable[Route],ROW()-1),"")</f>
        <v/>
      </c>
      <c r="AB381">
        <f>IF(AA381="","",IF(COUNTIF($AA$2:AA381,AA381)&gt;1,0,SUMPRODUCT((DailyRouteRecordTable[Route]=AA381)*(IF($B$6="All",1,IFERROR(--MID(DailyRouteRecordTable[Departure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1">
        <f>IF(AA381="","",IF(COUNTIF($AA$2:AA381,AA381)&gt;1,0,SUMPRODUCT((DailyRouteRecordTable[Route]=AA381)*(IF($B$6="All",1,IFERROR(--MID(DailyRouteRecordTable[Departure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1">
        <f>IF(AB381&lt;=0,"",RANK(AB381,$AB$2:$AB$501,0)+COUNTIFS($AB$2:AB381,AB381)-1)</f>
        <v/>
      </c>
      <c r="AE381">
        <f>IF(AC381&lt;=0,"",RANK(AC381,$AC$2:$AC$501,0)+COUNTIFS($AC$2:AC381,AC381)-1)</f>
        <v/>
      </c>
    </row>
    <row r="382">
      <c r="AA382">
        <f>IFERROR(INDEX(DailyRouteRecordTable[Route],ROW()-1),"")</f>
        <v/>
      </c>
      <c r="AB382">
        <f>IF(AA382="","",IF(COUNTIF($AA$2:AA382,AA382)&gt;1,0,SUMPRODUCT((DailyRouteRecordTable[Route]=AA382)*(IF($B$6="All",1,IFERROR(--MID(DailyRouteRecordTable[Departure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2">
        <f>IF(AA382="","",IF(COUNTIF($AA$2:AA382,AA382)&gt;1,0,SUMPRODUCT((DailyRouteRecordTable[Route]=AA382)*(IF($B$6="All",1,IFERROR(--MID(DailyRouteRecordTable[Departure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2">
        <f>IF(AB382&lt;=0,"",RANK(AB382,$AB$2:$AB$501,0)+COUNTIFS($AB$2:AB382,AB382)-1)</f>
        <v/>
      </c>
      <c r="AE382">
        <f>IF(AC382&lt;=0,"",RANK(AC382,$AC$2:$AC$501,0)+COUNTIFS($AC$2:AC382,AC382)-1)</f>
        <v/>
      </c>
    </row>
    <row r="383">
      <c r="AA383">
        <f>IFERROR(INDEX(DailyRouteRecordTable[Route],ROW()-1),"")</f>
        <v/>
      </c>
      <c r="AB383">
        <f>IF(AA383="","",IF(COUNTIF($AA$2:AA383,AA383)&gt;1,0,SUMPRODUCT((DailyRouteRecordTable[Route]=AA383)*(IF($B$6="All",1,IFERROR(--MID(DailyRouteRecordTable[Departure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3">
        <f>IF(AA383="","",IF(COUNTIF($AA$2:AA383,AA383)&gt;1,0,SUMPRODUCT((DailyRouteRecordTable[Route]=AA383)*(IF($B$6="All",1,IFERROR(--MID(DailyRouteRecordTable[Departure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3">
        <f>IF(AB383&lt;=0,"",RANK(AB383,$AB$2:$AB$501,0)+COUNTIFS($AB$2:AB383,AB383)-1)</f>
        <v/>
      </c>
      <c r="AE383">
        <f>IF(AC383&lt;=0,"",RANK(AC383,$AC$2:$AC$501,0)+COUNTIFS($AC$2:AC383,AC383)-1)</f>
        <v/>
      </c>
    </row>
    <row r="384">
      <c r="AA384">
        <f>IFERROR(INDEX(DailyRouteRecordTable[Route],ROW()-1),"")</f>
        <v/>
      </c>
      <c r="AB384">
        <f>IF(AA384="","",IF(COUNTIF($AA$2:AA384,AA384)&gt;1,0,SUMPRODUCT((DailyRouteRecordTable[Route]=AA384)*(IF($B$6="All",1,IFERROR(--MID(DailyRouteRecordTable[Departure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4">
        <f>IF(AA384="","",IF(COUNTIF($AA$2:AA384,AA384)&gt;1,0,SUMPRODUCT((DailyRouteRecordTable[Route]=AA384)*(IF($B$6="All",1,IFERROR(--MID(DailyRouteRecordTable[Departure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4">
        <f>IF(AB384&lt;=0,"",RANK(AB384,$AB$2:$AB$501,0)+COUNTIFS($AB$2:AB384,AB384)-1)</f>
        <v/>
      </c>
      <c r="AE384">
        <f>IF(AC384&lt;=0,"",RANK(AC384,$AC$2:$AC$501,0)+COUNTIFS($AC$2:AC384,AC384)-1)</f>
        <v/>
      </c>
    </row>
    <row r="385">
      <c r="AA385">
        <f>IFERROR(INDEX(DailyRouteRecordTable[Route],ROW()-1),"")</f>
        <v/>
      </c>
      <c r="AB385">
        <f>IF(AA385="","",IF(COUNTIF($AA$2:AA385,AA385)&gt;1,0,SUMPRODUCT((DailyRouteRecordTable[Route]=AA385)*(IF($B$6="All",1,IFERROR(--MID(DailyRouteRecordTable[Departure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5">
        <f>IF(AA385="","",IF(COUNTIF($AA$2:AA385,AA385)&gt;1,0,SUMPRODUCT((DailyRouteRecordTable[Route]=AA385)*(IF($B$6="All",1,IFERROR(--MID(DailyRouteRecordTable[Departure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5">
        <f>IF(AB385&lt;=0,"",RANK(AB385,$AB$2:$AB$501,0)+COUNTIFS($AB$2:AB385,AB385)-1)</f>
        <v/>
      </c>
      <c r="AE385">
        <f>IF(AC385&lt;=0,"",RANK(AC385,$AC$2:$AC$501,0)+COUNTIFS($AC$2:AC385,AC385)-1)</f>
        <v/>
      </c>
    </row>
    <row r="386">
      <c r="AA386">
        <f>IFERROR(INDEX(DailyRouteRecordTable[Route],ROW()-1),"")</f>
        <v/>
      </c>
      <c r="AB386">
        <f>IF(AA386="","",IF(COUNTIF($AA$2:AA386,AA386)&gt;1,0,SUMPRODUCT((DailyRouteRecordTable[Route]=AA386)*(IF($B$6="All",1,IFERROR(--MID(DailyRouteRecordTable[Departure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6">
        <f>IF(AA386="","",IF(COUNTIF($AA$2:AA386,AA386)&gt;1,0,SUMPRODUCT((DailyRouteRecordTable[Route]=AA386)*(IF($B$6="All",1,IFERROR(--MID(DailyRouteRecordTable[Departure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6">
        <f>IF(AB386&lt;=0,"",RANK(AB386,$AB$2:$AB$501,0)+COUNTIFS($AB$2:AB386,AB386)-1)</f>
        <v/>
      </c>
      <c r="AE386">
        <f>IF(AC386&lt;=0,"",RANK(AC386,$AC$2:$AC$501,0)+COUNTIFS($AC$2:AC386,AC386)-1)</f>
        <v/>
      </c>
    </row>
    <row r="387">
      <c r="AA387">
        <f>IFERROR(INDEX(DailyRouteRecordTable[Route],ROW()-1),"")</f>
        <v/>
      </c>
      <c r="AB387">
        <f>IF(AA387="","",IF(COUNTIF($AA$2:AA387,AA387)&gt;1,0,SUMPRODUCT((DailyRouteRecordTable[Route]=AA387)*(IF($B$6="All",1,IFERROR(--MID(DailyRouteRecordTable[Departure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7">
        <f>IF(AA387="","",IF(COUNTIF($AA$2:AA387,AA387)&gt;1,0,SUMPRODUCT((DailyRouteRecordTable[Route]=AA387)*(IF($B$6="All",1,IFERROR(--MID(DailyRouteRecordTable[Departure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7">
        <f>IF(AB387&lt;=0,"",RANK(AB387,$AB$2:$AB$501,0)+COUNTIFS($AB$2:AB387,AB387)-1)</f>
        <v/>
      </c>
      <c r="AE387">
        <f>IF(AC387&lt;=0,"",RANK(AC387,$AC$2:$AC$501,0)+COUNTIFS($AC$2:AC387,AC387)-1)</f>
        <v/>
      </c>
    </row>
    <row r="388">
      <c r="AA388">
        <f>IFERROR(INDEX(DailyRouteRecordTable[Route],ROW()-1),"")</f>
        <v/>
      </c>
      <c r="AB388">
        <f>IF(AA388="","",IF(COUNTIF($AA$2:AA388,AA388)&gt;1,0,SUMPRODUCT((DailyRouteRecordTable[Route]=AA388)*(IF($B$6="All",1,IFERROR(--MID(DailyRouteRecordTable[Departure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8">
        <f>IF(AA388="","",IF(COUNTIF($AA$2:AA388,AA388)&gt;1,0,SUMPRODUCT((DailyRouteRecordTable[Route]=AA388)*(IF($B$6="All",1,IFERROR(--MID(DailyRouteRecordTable[Departure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8">
        <f>IF(AB388&lt;=0,"",RANK(AB388,$AB$2:$AB$501,0)+COUNTIFS($AB$2:AB388,AB388)-1)</f>
        <v/>
      </c>
      <c r="AE388">
        <f>IF(AC388&lt;=0,"",RANK(AC388,$AC$2:$AC$501,0)+COUNTIFS($AC$2:AC388,AC388)-1)</f>
        <v/>
      </c>
    </row>
    <row r="389">
      <c r="AA389">
        <f>IFERROR(INDEX(DailyRouteRecordTable[Route],ROW()-1),"")</f>
        <v/>
      </c>
      <c r="AB389">
        <f>IF(AA389="","",IF(COUNTIF($AA$2:AA389,AA389)&gt;1,0,SUMPRODUCT((DailyRouteRecordTable[Route]=AA389)*(IF($B$6="All",1,IFERROR(--MID(DailyRouteRecordTable[Departure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89">
        <f>IF(AA389="","",IF(COUNTIF($AA$2:AA389,AA389)&gt;1,0,SUMPRODUCT((DailyRouteRecordTable[Route]=AA389)*(IF($B$6="All",1,IFERROR(--MID(DailyRouteRecordTable[Departure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89">
        <f>IF(AB389&lt;=0,"",RANK(AB389,$AB$2:$AB$501,0)+COUNTIFS($AB$2:AB389,AB389)-1)</f>
        <v/>
      </c>
      <c r="AE389">
        <f>IF(AC389&lt;=0,"",RANK(AC389,$AC$2:$AC$501,0)+COUNTIFS($AC$2:AC389,AC389)-1)</f>
        <v/>
      </c>
    </row>
    <row r="390">
      <c r="AA390">
        <f>IFERROR(INDEX(DailyRouteRecordTable[Route],ROW()-1),"")</f>
        <v/>
      </c>
      <c r="AB390">
        <f>IF(AA390="","",IF(COUNTIF($AA$2:AA390,AA390)&gt;1,0,SUMPRODUCT((DailyRouteRecordTable[Route]=AA390)*(IF($B$6="All",1,IFERROR(--MID(DailyRouteRecordTable[Departure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0">
        <f>IF(AA390="","",IF(COUNTIF($AA$2:AA390,AA390)&gt;1,0,SUMPRODUCT((DailyRouteRecordTable[Route]=AA390)*(IF($B$6="All",1,IFERROR(--MID(DailyRouteRecordTable[Departure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0">
        <f>IF(AB390&lt;=0,"",RANK(AB390,$AB$2:$AB$501,0)+COUNTIFS($AB$2:AB390,AB390)-1)</f>
        <v/>
      </c>
      <c r="AE390">
        <f>IF(AC390&lt;=0,"",RANK(AC390,$AC$2:$AC$501,0)+COUNTIFS($AC$2:AC390,AC390)-1)</f>
        <v/>
      </c>
    </row>
    <row r="391">
      <c r="AA391">
        <f>IFERROR(INDEX(DailyRouteRecordTable[Route],ROW()-1),"")</f>
        <v/>
      </c>
      <c r="AB391">
        <f>IF(AA391="","",IF(COUNTIF($AA$2:AA391,AA391)&gt;1,0,SUMPRODUCT((DailyRouteRecordTable[Route]=AA391)*(IF($B$6="All",1,IFERROR(--MID(DailyRouteRecordTable[Departure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1">
        <f>IF(AA391="","",IF(COUNTIF($AA$2:AA391,AA391)&gt;1,0,SUMPRODUCT((DailyRouteRecordTable[Route]=AA391)*(IF($B$6="All",1,IFERROR(--MID(DailyRouteRecordTable[Departure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1">
        <f>IF(AB391&lt;=0,"",RANK(AB391,$AB$2:$AB$501,0)+COUNTIFS($AB$2:AB391,AB391)-1)</f>
        <v/>
      </c>
      <c r="AE391">
        <f>IF(AC391&lt;=0,"",RANK(AC391,$AC$2:$AC$501,0)+COUNTIFS($AC$2:AC391,AC391)-1)</f>
        <v/>
      </c>
    </row>
    <row r="392">
      <c r="AA392">
        <f>IFERROR(INDEX(DailyRouteRecordTable[Route],ROW()-1),"")</f>
        <v/>
      </c>
      <c r="AB392">
        <f>IF(AA392="","",IF(COUNTIF($AA$2:AA392,AA392)&gt;1,0,SUMPRODUCT((DailyRouteRecordTable[Route]=AA392)*(IF($B$6="All",1,IFERROR(--MID(DailyRouteRecordTable[Departure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2">
        <f>IF(AA392="","",IF(COUNTIF($AA$2:AA392,AA392)&gt;1,0,SUMPRODUCT((DailyRouteRecordTable[Route]=AA392)*(IF($B$6="All",1,IFERROR(--MID(DailyRouteRecordTable[Departure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2">
        <f>IF(AB392&lt;=0,"",RANK(AB392,$AB$2:$AB$501,0)+COUNTIFS($AB$2:AB392,AB392)-1)</f>
        <v/>
      </c>
      <c r="AE392">
        <f>IF(AC392&lt;=0,"",RANK(AC392,$AC$2:$AC$501,0)+COUNTIFS($AC$2:AC392,AC392)-1)</f>
        <v/>
      </c>
    </row>
    <row r="393">
      <c r="AA393">
        <f>IFERROR(INDEX(DailyRouteRecordTable[Route],ROW()-1),"")</f>
        <v/>
      </c>
      <c r="AB393">
        <f>IF(AA393="","",IF(COUNTIF($AA$2:AA393,AA393)&gt;1,0,SUMPRODUCT((DailyRouteRecordTable[Route]=AA393)*(IF($B$6="All",1,IFERROR(--MID(DailyRouteRecordTable[Departure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3">
        <f>IF(AA393="","",IF(COUNTIF($AA$2:AA393,AA393)&gt;1,0,SUMPRODUCT((DailyRouteRecordTable[Route]=AA393)*(IF($B$6="All",1,IFERROR(--MID(DailyRouteRecordTable[Departure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3">
        <f>IF(AB393&lt;=0,"",RANK(AB393,$AB$2:$AB$501,0)+COUNTIFS($AB$2:AB393,AB393)-1)</f>
        <v/>
      </c>
      <c r="AE393">
        <f>IF(AC393&lt;=0,"",RANK(AC393,$AC$2:$AC$501,0)+COUNTIFS($AC$2:AC393,AC393)-1)</f>
        <v/>
      </c>
    </row>
    <row r="394">
      <c r="AA394">
        <f>IFERROR(INDEX(DailyRouteRecordTable[Route],ROW()-1),"")</f>
        <v/>
      </c>
      <c r="AB394">
        <f>IF(AA394="","",IF(COUNTIF($AA$2:AA394,AA394)&gt;1,0,SUMPRODUCT((DailyRouteRecordTable[Route]=AA394)*(IF($B$6="All",1,IFERROR(--MID(DailyRouteRecordTable[Departure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4">
        <f>IF(AA394="","",IF(COUNTIF($AA$2:AA394,AA394)&gt;1,0,SUMPRODUCT((DailyRouteRecordTable[Route]=AA394)*(IF($B$6="All",1,IFERROR(--MID(DailyRouteRecordTable[Departure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4">
        <f>IF(AB394&lt;=0,"",RANK(AB394,$AB$2:$AB$501,0)+COUNTIFS($AB$2:AB394,AB394)-1)</f>
        <v/>
      </c>
      <c r="AE394">
        <f>IF(AC394&lt;=0,"",RANK(AC394,$AC$2:$AC$501,0)+COUNTIFS($AC$2:AC394,AC394)-1)</f>
        <v/>
      </c>
    </row>
    <row r="395">
      <c r="AA395">
        <f>IFERROR(INDEX(DailyRouteRecordTable[Route],ROW()-1),"")</f>
        <v/>
      </c>
      <c r="AB395">
        <f>IF(AA395="","",IF(COUNTIF($AA$2:AA395,AA395)&gt;1,0,SUMPRODUCT((DailyRouteRecordTable[Route]=AA395)*(IF($B$6="All",1,IFERROR(--MID(DailyRouteRecordTable[Departure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5">
        <f>IF(AA395="","",IF(COUNTIF($AA$2:AA395,AA395)&gt;1,0,SUMPRODUCT((DailyRouteRecordTable[Route]=AA395)*(IF($B$6="All",1,IFERROR(--MID(DailyRouteRecordTable[Departure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5">
        <f>IF(AB395&lt;=0,"",RANK(AB395,$AB$2:$AB$501,0)+COUNTIFS($AB$2:AB395,AB395)-1)</f>
        <v/>
      </c>
      <c r="AE395">
        <f>IF(AC395&lt;=0,"",RANK(AC395,$AC$2:$AC$501,0)+COUNTIFS($AC$2:AC395,AC395)-1)</f>
        <v/>
      </c>
    </row>
    <row r="396">
      <c r="AA396">
        <f>IFERROR(INDEX(DailyRouteRecordTable[Route],ROW()-1),"")</f>
        <v/>
      </c>
      <c r="AB396">
        <f>IF(AA396="","",IF(COUNTIF($AA$2:AA396,AA396)&gt;1,0,SUMPRODUCT((DailyRouteRecordTable[Route]=AA396)*(IF($B$6="All",1,IFERROR(--MID(DailyRouteRecordTable[Departure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6">
        <f>IF(AA396="","",IF(COUNTIF($AA$2:AA396,AA396)&gt;1,0,SUMPRODUCT((DailyRouteRecordTable[Route]=AA396)*(IF($B$6="All",1,IFERROR(--MID(DailyRouteRecordTable[Departure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6">
        <f>IF(AB396&lt;=0,"",RANK(AB396,$AB$2:$AB$501,0)+COUNTIFS($AB$2:AB396,AB396)-1)</f>
        <v/>
      </c>
      <c r="AE396">
        <f>IF(AC396&lt;=0,"",RANK(AC396,$AC$2:$AC$501,0)+COUNTIFS($AC$2:AC396,AC396)-1)</f>
        <v/>
      </c>
    </row>
    <row r="397">
      <c r="AA397">
        <f>IFERROR(INDEX(DailyRouteRecordTable[Route],ROW()-1),"")</f>
        <v/>
      </c>
      <c r="AB397">
        <f>IF(AA397="","",IF(COUNTIF($AA$2:AA397,AA397)&gt;1,0,SUMPRODUCT((DailyRouteRecordTable[Route]=AA397)*(IF($B$6="All",1,IFERROR(--MID(DailyRouteRecordTable[Departure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7">
        <f>IF(AA397="","",IF(COUNTIF($AA$2:AA397,AA397)&gt;1,0,SUMPRODUCT((DailyRouteRecordTable[Route]=AA397)*(IF($B$6="All",1,IFERROR(--MID(DailyRouteRecordTable[Departure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7">
        <f>IF(AB397&lt;=0,"",RANK(AB397,$AB$2:$AB$501,0)+COUNTIFS($AB$2:AB397,AB397)-1)</f>
        <v/>
      </c>
      <c r="AE397">
        <f>IF(AC397&lt;=0,"",RANK(AC397,$AC$2:$AC$501,0)+COUNTIFS($AC$2:AC397,AC397)-1)</f>
        <v/>
      </c>
    </row>
    <row r="398">
      <c r="AA398">
        <f>IFERROR(INDEX(DailyRouteRecordTable[Route],ROW()-1),"")</f>
        <v/>
      </c>
      <c r="AB398">
        <f>IF(AA398="","",IF(COUNTIF($AA$2:AA398,AA398)&gt;1,0,SUMPRODUCT((DailyRouteRecordTable[Route]=AA398)*(IF($B$6="All",1,IFERROR(--MID(DailyRouteRecordTable[Departure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8">
        <f>IF(AA398="","",IF(COUNTIF($AA$2:AA398,AA398)&gt;1,0,SUMPRODUCT((DailyRouteRecordTable[Route]=AA398)*(IF($B$6="All",1,IFERROR(--MID(DailyRouteRecordTable[Departure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8">
        <f>IF(AB398&lt;=0,"",RANK(AB398,$AB$2:$AB$501,0)+COUNTIFS($AB$2:AB398,AB398)-1)</f>
        <v/>
      </c>
      <c r="AE398">
        <f>IF(AC398&lt;=0,"",RANK(AC398,$AC$2:$AC$501,0)+COUNTIFS($AC$2:AC398,AC398)-1)</f>
        <v/>
      </c>
    </row>
    <row r="399">
      <c r="AA399">
        <f>IFERROR(INDEX(DailyRouteRecordTable[Route],ROW()-1),"")</f>
        <v/>
      </c>
      <c r="AB399">
        <f>IF(AA399="","",IF(COUNTIF($AA$2:AA399,AA399)&gt;1,0,SUMPRODUCT((DailyRouteRecordTable[Route]=AA399)*(IF($B$6="All",1,IFERROR(--MID(DailyRouteRecordTable[Departure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399">
        <f>IF(AA399="","",IF(COUNTIF($AA$2:AA399,AA399)&gt;1,0,SUMPRODUCT((DailyRouteRecordTable[Route]=AA399)*(IF($B$6="All",1,IFERROR(--MID(DailyRouteRecordTable[Departure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399">
        <f>IF(AB399&lt;=0,"",RANK(AB399,$AB$2:$AB$501,0)+COUNTIFS($AB$2:AB399,AB399)-1)</f>
        <v/>
      </c>
      <c r="AE399">
        <f>IF(AC399&lt;=0,"",RANK(AC399,$AC$2:$AC$501,0)+COUNTIFS($AC$2:AC399,AC399)-1)</f>
        <v/>
      </c>
    </row>
    <row r="400">
      <c r="AA400">
        <f>IFERROR(INDEX(DailyRouteRecordTable[Route],ROW()-1),"")</f>
        <v/>
      </c>
      <c r="AB400">
        <f>IF(AA400="","",IF(COUNTIF($AA$2:AA400,AA400)&gt;1,0,SUMPRODUCT((DailyRouteRecordTable[Route]=AA400)*(IF($B$6="All",1,IFERROR(--MID(DailyRouteRecordTable[Departure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0">
        <f>IF(AA400="","",IF(COUNTIF($AA$2:AA400,AA400)&gt;1,0,SUMPRODUCT((DailyRouteRecordTable[Route]=AA400)*(IF($B$6="All",1,IFERROR(--MID(DailyRouteRecordTable[Departure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0">
        <f>IF(AB400&lt;=0,"",RANK(AB400,$AB$2:$AB$501,0)+COUNTIFS($AB$2:AB400,AB400)-1)</f>
        <v/>
      </c>
      <c r="AE400">
        <f>IF(AC400&lt;=0,"",RANK(AC400,$AC$2:$AC$501,0)+COUNTIFS($AC$2:AC400,AC400)-1)</f>
        <v/>
      </c>
    </row>
    <row r="401">
      <c r="AA401">
        <f>IFERROR(INDEX(DailyRouteRecordTable[Route],ROW()-1),"")</f>
        <v/>
      </c>
      <c r="AB401">
        <f>IF(AA401="","",IF(COUNTIF($AA$2:AA401,AA401)&gt;1,0,SUMPRODUCT((DailyRouteRecordTable[Route]=AA401)*(IF($B$6="All",1,IFERROR(--MID(DailyRouteRecordTable[Departure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1">
        <f>IF(AA401="","",IF(COUNTIF($AA$2:AA401,AA401)&gt;1,0,SUMPRODUCT((DailyRouteRecordTable[Route]=AA401)*(IF($B$6="All",1,IFERROR(--MID(DailyRouteRecordTable[Departure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1">
        <f>IF(AB401&lt;=0,"",RANK(AB401,$AB$2:$AB$501,0)+COUNTIFS($AB$2:AB401,AB401)-1)</f>
        <v/>
      </c>
      <c r="AE401">
        <f>IF(AC401&lt;=0,"",RANK(AC401,$AC$2:$AC$501,0)+COUNTIFS($AC$2:AC401,AC401)-1)</f>
        <v/>
      </c>
    </row>
    <row r="402">
      <c r="AA402">
        <f>IFERROR(INDEX(DailyRouteRecordTable[Route],ROW()-1),"")</f>
        <v/>
      </c>
      <c r="AB402">
        <f>IF(AA402="","",IF(COUNTIF($AA$2:AA402,AA402)&gt;1,0,SUMPRODUCT((DailyRouteRecordTable[Route]=AA402)*(IF($B$6="All",1,IFERROR(--MID(DailyRouteRecordTable[Departure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2">
        <f>IF(AA402="","",IF(COUNTIF($AA$2:AA402,AA402)&gt;1,0,SUMPRODUCT((DailyRouteRecordTable[Route]=AA402)*(IF($B$6="All",1,IFERROR(--MID(DailyRouteRecordTable[Departure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2">
        <f>IF(AB402&lt;=0,"",RANK(AB402,$AB$2:$AB$501,0)+COUNTIFS($AB$2:AB402,AB402)-1)</f>
        <v/>
      </c>
      <c r="AE402">
        <f>IF(AC402&lt;=0,"",RANK(AC402,$AC$2:$AC$501,0)+COUNTIFS($AC$2:AC402,AC402)-1)</f>
        <v/>
      </c>
    </row>
    <row r="403">
      <c r="AA403">
        <f>IFERROR(INDEX(DailyRouteRecordTable[Route],ROW()-1),"")</f>
        <v/>
      </c>
      <c r="AB403">
        <f>IF(AA403="","",IF(COUNTIF($AA$2:AA403,AA403)&gt;1,0,SUMPRODUCT((DailyRouteRecordTable[Route]=AA403)*(IF($B$6="All",1,IFERROR(--MID(DailyRouteRecordTable[Departure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3">
        <f>IF(AA403="","",IF(COUNTIF($AA$2:AA403,AA403)&gt;1,0,SUMPRODUCT((DailyRouteRecordTable[Route]=AA403)*(IF($B$6="All",1,IFERROR(--MID(DailyRouteRecordTable[Departure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3">
        <f>IF(AB403&lt;=0,"",RANK(AB403,$AB$2:$AB$501,0)+COUNTIFS($AB$2:AB403,AB403)-1)</f>
        <v/>
      </c>
      <c r="AE403">
        <f>IF(AC403&lt;=0,"",RANK(AC403,$AC$2:$AC$501,0)+COUNTIFS($AC$2:AC403,AC403)-1)</f>
        <v/>
      </c>
    </row>
    <row r="404">
      <c r="AA404">
        <f>IFERROR(INDEX(DailyRouteRecordTable[Route],ROW()-1),"")</f>
        <v/>
      </c>
      <c r="AB404">
        <f>IF(AA404="","",IF(COUNTIF($AA$2:AA404,AA404)&gt;1,0,SUMPRODUCT((DailyRouteRecordTable[Route]=AA404)*(IF($B$6="All",1,IFERROR(--MID(DailyRouteRecordTable[Departure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4">
        <f>IF(AA404="","",IF(COUNTIF($AA$2:AA404,AA404)&gt;1,0,SUMPRODUCT((DailyRouteRecordTable[Route]=AA404)*(IF($B$6="All",1,IFERROR(--MID(DailyRouteRecordTable[Departure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4">
        <f>IF(AB404&lt;=0,"",RANK(AB404,$AB$2:$AB$501,0)+COUNTIFS($AB$2:AB404,AB404)-1)</f>
        <v/>
      </c>
      <c r="AE404">
        <f>IF(AC404&lt;=0,"",RANK(AC404,$AC$2:$AC$501,0)+COUNTIFS($AC$2:AC404,AC404)-1)</f>
        <v/>
      </c>
    </row>
    <row r="405">
      <c r="AA405">
        <f>IFERROR(INDEX(DailyRouteRecordTable[Route],ROW()-1),"")</f>
        <v/>
      </c>
      <c r="AB405">
        <f>IF(AA405="","",IF(COUNTIF($AA$2:AA405,AA405)&gt;1,0,SUMPRODUCT((DailyRouteRecordTable[Route]=AA405)*(IF($B$6="All",1,IFERROR(--MID(DailyRouteRecordTable[Departure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5">
        <f>IF(AA405="","",IF(COUNTIF($AA$2:AA405,AA405)&gt;1,0,SUMPRODUCT((DailyRouteRecordTable[Route]=AA405)*(IF($B$6="All",1,IFERROR(--MID(DailyRouteRecordTable[Departure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5">
        <f>IF(AB405&lt;=0,"",RANK(AB405,$AB$2:$AB$501,0)+COUNTIFS($AB$2:AB405,AB405)-1)</f>
        <v/>
      </c>
      <c r="AE405">
        <f>IF(AC405&lt;=0,"",RANK(AC405,$AC$2:$AC$501,0)+COUNTIFS($AC$2:AC405,AC405)-1)</f>
        <v/>
      </c>
    </row>
    <row r="406">
      <c r="AA406">
        <f>IFERROR(INDEX(DailyRouteRecordTable[Route],ROW()-1),"")</f>
        <v/>
      </c>
      <c r="AB406">
        <f>IF(AA406="","",IF(COUNTIF($AA$2:AA406,AA406)&gt;1,0,SUMPRODUCT((DailyRouteRecordTable[Route]=AA406)*(IF($B$6="All",1,IFERROR(--MID(DailyRouteRecordTable[Departure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6">
        <f>IF(AA406="","",IF(COUNTIF($AA$2:AA406,AA406)&gt;1,0,SUMPRODUCT((DailyRouteRecordTable[Route]=AA406)*(IF($B$6="All",1,IFERROR(--MID(DailyRouteRecordTable[Departure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6">
        <f>IF(AB406&lt;=0,"",RANK(AB406,$AB$2:$AB$501,0)+COUNTIFS($AB$2:AB406,AB406)-1)</f>
        <v/>
      </c>
      <c r="AE406">
        <f>IF(AC406&lt;=0,"",RANK(AC406,$AC$2:$AC$501,0)+COUNTIFS($AC$2:AC406,AC406)-1)</f>
        <v/>
      </c>
    </row>
    <row r="407">
      <c r="AA407">
        <f>IFERROR(INDEX(DailyRouteRecordTable[Route],ROW()-1),"")</f>
        <v/>
      </c>
      <c r="AB407">
        <f>IF(AA407="","",IF(COUNTIF($AA$2:AA407,AA407)&gt;1,0,SUMPRODUCT((DailyRouteRecordTable[Route]=AA407)*(IF($B$6="All",1,IFERROR(--MID(DailyRouteRecordTable[Departure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7">
        <f>IF(AA407="","",IF(COUNTIF($AA$2:AA407,AA407)&gt;1,0,SUMPRODUCT((DailyRouteRecordTable[Route]=AA407)*(IF($B$6="All",1,IFERROR(--MID(DailyRouteRecordTable[Departure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7">
        <f>IF(AB407&lt;=0,"",RANK(AB407,$AB$2:$AB$501,0)+COUNTIFS($AB$2:AB407,AB407)-1)</f>
        <v/>
      </c>
      <c r="AE407">
        <f>IF(AC407&lt;=0,"",RANK(AC407,$AC$2:$AC$501,0)+COUNTIFS($AC$2:AC407,AC407)-1)</f>
        <v/>
      </c>
    </row>
    <row r="408">
      <c r="AA408">
        <f>IFERROR(INDEX(DailyRouteRecordTable[Route],ROW()-1),"")</f>
        <v/>
      </c>
      <c r="AB408">
        <f>IF(AA408="","",IF(COUNTIF($AA$2:AA408,AA408)&gt;1,0,SUMPRODUCT((DailyRouteRecordTable[Route]=AA408)*(IF($B$6="All",1,IFERROR(--MID(DailyRouteRecordTable[Departure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8">
        <f>IF(AA408="","",IF(COUNTIF($AA$2:AA408,AA408)&gt;1,0,SUMPRODUCT((DailyRouteRecordTable[Route]=AA408)*(IF($B$6="All",1,IFERROR(--MID(DailyRouteRecordTable[Departure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8">
        <f>IF(AB408&lt;=0,"",RANK(AB408,$AB$2:$AB$501,0)+COUNTIFS($AB$2:AB408,AB408)-1)</f>
        <v/>
      </c>
      <c r="AE408">
        <f>IF(AC408&lt;=0,"",RANK(AC408,$AC$2:$AC$501,0)+COUNTIFS($AC$2:AC408,AC408)-1)</f>
        <v/>
      </c>
    </row>
    <row r="409">
      <c r="AA409">
        <f>IFERROR(INDEX(DailyRouteRecordTable[Route],ROW()-1),"")</f>
        <v/>
      </c>
      <c r="AB409">
        <f>IF(AA409="","",IF(COUNTIF($AA$2:AA409,AA409)&gt;1,0,SUMPRODUCT((DailyRouteRecordTable[Route]=AA409)*(IF($B$6="All",1,IFERROR(--MID(DailyRouteRecordTable[Departure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09">
        <f>IF(AA409="","",IF(COUNTIF($AA$2:AA409,AA409)&gt;1,0,SUMPRODUCT((DailyRouteRecordTable[Route]=AA409)*(IF($B$6="All",1,IFERROR(--MID(DailyRouteRecordTable[Departure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09">
        <f>IF(AB409&lt;=0,"",RANK(AB409,$AB$2:$AB$501,0)+COUNTIFS($AB$2:AB409,AB409)-1)</f>
        <v/>
      </c>
      <c r="AE409">
        <f>IF(AC409&lt;=0,"",RANK(AC409,$AC$2:$AC$501,0)+COUNTIFS($AC$2:AC409,AC409)-1)</f>
        <v/>
      </c>
    </row>
    <row r="410">
      <c r="AA410">
        <f>IFERROR(INDEX(DailyRouteRecordTable[Route],ROW()-1),"")</f>
        <v/>
      </c>
      <c r="AB410">
        <f>IF(AA410="","",IF(COUNTIF($AA$2:AA410,AA410)&gt;1,0,SUMPRODUCT((DailyRouteRecordTable[Route]=AA410)*(IF($B$6="All",1,IFERROR(--MID(DailyRouteRecordTable[Departure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0">
        <f>IF(AA410="","",IF(COUNTIF($AA$2:AA410,AA410)&gt;1,0,SUMPRODUCT((DailyRouteRecordTable[Route]=AA410)*(IF($B$6="All",1,IFERROR(--MID(DailyRouteRecordTable[Departure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0">
        <f>IF(AB410&lt;=0,"",RANK(AB410,$AB$2:$AB$501,0)+COUNTIFS($AB$2:AB410,AB410)-1)</f>
        <v/>
      </c>
      <c r="AE410">
        <f>IF(AC410&lt;=0,"",RANK(AC410,$AC$2:$AC$501,0)+COUNTIFS($AC$2:AC410,AC410)-1)</f>
        <v/>
      </c>
    </row>
    <row r="411">
      <c r="AA411">
        <f>IFERROR(INDEX(DailyRouteRecordTable[Route],ROW()-1),"")</f>
        <v/>
      </c>
      <c r="AB411">
        <f>IF(AA411="","",IF(COUNTIF($AA$2:AA411,AA411)&gt;1,0,SUMPRODUCT((DailyRouteRecordTable[Route]=AA411)*(IF($B$6="All",1,IFERROR(--MID(DailyRouteRecordTable[Departure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1">
        <f>IF(AA411="","",IF(COUNTIF($AA$2:AA411,AA411)&gt;1,0,SUMPRODUCT((DailyRouteRecordTable[Route]=AA411)*(IF($B$6="All",1,IFERROR(--MID(DailyRouteRecordTable[Departure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1">
        <f>IF(AB411&lt;=0,"",RANK(AB411,$AB$2:$AB$501,0)+COUNTIFS($AB$2:AB411,AB411)-1)</f>
        <v/>
      </c>
      <c r="AE411">
        <f>IF(AC411&lt;=0,"",RANK(AC411,$AC$2:$AC$501,0)+COUNTIFS($AC$2:AC411,AC411)-1)</f>
        <v/>
      </c>
    </row>
    <row r="412">
      <c r="AA412">
        <f>IFERROR(INDEX(DailyRouteRecordTable[Route],ROW()-1),"")</f>
        <v/>
      </c>
      <c r="AB412">
        <f>IF(AA412="","",IF(COUNTIF($AA$2:AA412,AA412)&gt;1,0,SUMPRODUCT((DailyRouteRecordTable[Route]=AA412)*(IF($B$6="All",1,IFERROR(--MID(DailyRouteRecordTable[Departure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2">
        <f>IF(AA412="","",IF(COUNTIF($AA$2:AA412,AA412)&gt;1,0,SUMPRODUCT((DailyRouteRecordTable[Route]=AA412)*(IF($B$6="All",1,IFERROR(--MID(DailyRouteRecordTable[Departure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2">
        <f>IF(AB412&lt;=0,"",RANK(AB412,$AB$2:$AB$501,0)+COUNTIFS($AB$2:AB412,AB412)-1)</f>
        <v/>
      </c>
      <c r="AE412">
        <f>IF(AC412&lt;=0,"",RANK(AC412,$AC$2:$AC$501,0)+COUNTIFS($AC$2:AC412,AC412)-1)</f>
        <v/>
      </c>
    </row>
    <row r="413">
      <c r="AA413">
        <f>IFERROR(INDEX(DailyRouteRecordTable[Route],ROW()-1),"")</f>
        <v/>
      </c>
      <c r="AB413">
        <f>IF(AA413="","",IF(COUNTIF($AA$2:AA413,AA413)&gt;1,0,SUMPRODUCT((DailyRouteRecordTable[Route]=AA413)*(IF($B$6="All",1,IFERROR(--MID(DailyRouteRecordTable[Departure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3">
        <f>IF(AA413="","",IF(COUNTIF($AA$2:AA413,AA413)&gt;1,0,SUMPRODUCT((DailyRouteRecordTable[Route]=AA413)*(IF($B$6="All",1,IFERROR(--MID(DailyRouteRecordTable[Departure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3">
        <f>IF(AB413&lt;=0,"",RANK(AB413,$AB$2:$AB$501,0)+COUNTIFS($AB$2:AB413,AB413)-1)</f>
        <v/>
      </c>
      <c r="AE413">
        <f>IF(AC413&lt;=0,"",RANK(AC413,$AC$2:$AC$501,0)+COUNTIFS($AC$2:AC413,AC413)-1)</f>
        <v/>
      </c>
    </row>
    <row r="414">
      <c r="AA414">
        <f>IFERROR(INDEX(DailyRouteRecordTable[Route],ROW()-1),"")</f>
        <v/>
      </c>
      <c r="AB414">
        <f>IF(AA414="","",IF(COUNTIF($AA$2:AA414,AA414)&gt;1,0,SUMPRODUCT((DailyRouteRecordTable[Route]=AA414)*(IF($B$6="All",1,IFERROR(--MID(DailyRouteRecordTable[Departure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4">
        <f>IF(AA414="","",IF(COUNTIF($AA$2:AA414,AA414)&gt;1,0,SUMPRODUCT((DailyRouteRecordTable[Route]=AA414)*(IF($B$6="All",1,IFERROR(--MID(DailyRouteRecordTable[Departure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4">
        <f>IF(AB414&lt;=0,"",RANK(AB414,$AB$2:$AB$501,0)+COUNTIFS($AB$2:AB414,AB414)-1)</f>
        <v/>
      </c>
      <c r="AE414">
        <f>IF(AC414&lt;=0,"",RANK(AC414,$AC$2:$AC$501,0)+COUNTIFS($AC$2:AC414,AC414)-1)</f>
        <v/>
      </c>
    </row>
    <row r="415">
      <c r="AA415">
        <f>IFERROR(INDEX(DailyRouteRecordTable[Route],ROW()-1),"")</f>
        <v/>
      </c>
      <c r="AB415">
        <f>IF(AA415="","",IF(COUNTIF($AA$2:AA415,AA415)&gt;1,0,SUMPRODUCT((DailyRouteRecordTable[Route]=AA415)*(IF($B$6="All",1,IFERROR(--MID(DailyRouteRecordTable[Departure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5">
        <f>IF(AA415="","",IF(COUNTIF($AA$2:AA415,AA415)&gt;1,0,SUMPRODUCT((DailyRouteRecordTable[Route]=AA415)*(IF($B$6="All",1,IFERROR(--MID(DailyRouteRecordTable[Departure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5">
        <f>IF(AB415&lt;=0,"",RANK(AB415,$AB$2:$AB$501,0)+COUNTIFS($AB$2:AB415,AB415)-1)</f>
        <v/>
      </c>
      <c r="AE415">
        <f>IF(AC415&lt;=0,"",RANK(AC415,$AC$2:$AC$501,0)+COUNTIFS($AC$2:AC415,AC415)-1)</f>
        <v/>
      </c>
    </row>
    <row r="416">
      <c r="AA416">
        <f>IFERROR(INDEX(DailyRouteRecordTable[Route],ROW()-1),"")</f>
        <v/>
      </c>
      <c r="AB416">
        <f>IF(AA416="","",IF(COUNTIF($AA$2:AA416,AA416)&gt;1,0,SUMPRODUCT((DailyRouteRecordTable[Route]=AA416)*(IF($B$6="All",1,IFERROR(--MID(DailyRouteRecordTable[Departure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6">
        <f>IF(AA416="","",IF(COUNTIF($AA$2:AA416,AA416)&gt;1,0,SUMPRODUCT((DailyRouteRecordTable[Route]=AA416)*(IF($B$6="All",1,IFERROR(--MID(DailyRouteRecordTable[Departure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6">
        <f>IF(AB416&lt;=0,"",RANK(AB416,$AB$2:$AB$501,0)+COUNTIFS($AB$2:AB416,AB416)-1)</f>
        <v/>
      </c>
      <c r="AE416">
        <f>IF(AC416&lt;=0,"",RANK(AC416,$AC$2:$AC$501,0)+COUNTIFS($AC$2:AC416,AC416)-1)</f>
        <v/>
      </c>
    </row>
    <row r="417">
      <c r="AA417">
        <f>IFERROR(INDEX(DailyRouteRecordTable[Route],ROW()-1),"")</f>
        <v/>
      </c>
      <c r="AB417">
        <f>IF(AA417="","",IF(COUNTIF($AA$2:AA417,AA417)&gt;1,0,SUMPRODUCT((DailyRouteRecordTable[Route]=AA417)*(IF($B$6="All",1,IFERROR(--MID(DailyRouteRecordTable[Departure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7">
        <f>IF(AA417="","",IF(COUNTIF($AA$2:AA417,AA417)&gt;1,0,SUMPRODUCT((DailyRouteRecordTable[Route]=AA417)*(IF($B$6="All",1,IFERROR(--MID(DailyRouteRecordTable[Departure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7">
        <f>IF(AB417&lt;=0,"",RANK(AB417,$AB$2:$AB$501,0)+COUNTIFS($AB$2:AB417,AB417)-1)</f>
        <v/>
      </c>
      <c r="AE417">
        <f>IF(AC417&lt;=0,"",RANK(AC417,$AC$2:$AC$501,0)+COUNTIFS($AC$2:AC417,AC417)-1)</f>
        <v/>
      </c>
    </row>
    <row r="418">
      <c r="AA418">
        <f>IFERROR(INDEX(DailyRouteRecordTable[Route],ROW()-1),"")</f>
        <v/>
      </c>
      <c r="AB418">
        <f>IF(AA418="","",IF(COUNTIF($AA$2:AA418,AA418)&gt;1,0,SUMPRODUCT((DailyRouteRecordTable[Route]=AA418)*(IF($B$6="All",1,IFERROR(--MID(DailyRouteRecordTable[Departure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8">
        <f>IF(AA418="","",IF(COUNTIF($AA$2:AA418,AA418)&gt;1,0,SUMPRODUCT((DailyRouteRecordTable[Route]=AA418)*(IF($B$6="All",1,IFERROR(--MID(DailyRouteRecordTable[Departure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8">
        <f>IF(AB418&lt;=0,"",RANK(AB418,$AB$2:$AB$501,0)+COUNTIFS($AB$2:AB418,AB418)-1)</f>
        <v/>
      </c>
      <c r="AE418">
        <f>IF(AC418&lt;=0,"",RANK(AC418,$AC$2:$AC$501,0)+COUNTIFS($AC$2:AC418,AC418)-1)</f>
        <v/>
      </c>
    </row>
    <row r="419">
      <c r="AA419">
        <f>IFERROR(INDEX(DailyRouteRecordTable[Route],ROW()-1),"")</f>
        <v/>
      </c>
      <c r="AB419">
        <f>IF(AA419="","",IF(COUNTIF($AA$2:AA419,AA419)&gt;1,0,SUMPRODUCT((DailyRouteRecordTable[Route]=AA419)*(IF($B$6="All",1,IFERROR(--MID(DailyRouteRecordTable[Departure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19">
        <f>IF(AA419="","",IF(COUNTIF($AA$2:AA419,AA419)&gt;1,0,SUMPRODUCT((DailyRouteRecordTable[Route]=AA419)*(IF($B$6="All",1,IFERROR(--MID(DailyRouteRecordTable[Departure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19">
        <f>IF(AB419&lt;=0,"",RANK(AB419,$AB$2:$AB$501,0)+COUNTIFS($AB$2:AB419,AB419)-1)</f>
        <v/>
      </c>
      <c r="AE419">
        <f>IF(AC419&lt;=0,"",RANK(AC419,$AC$2:$AC$501,0)+COUNTIFS($AC$2:AC419,AC419)-1)</f>
        <v/>
      </c>
    </row>
    <row r="420">
      <c r="AA420">
        <f>IFERROR(INDEX(DailyRouteRecordTable[Route],ROW()-1),"")</f>
        <v/>
      </c>
      <c r="AB420">
        <f>IF(AA420="","",IF(COUNTIF($AA$2:AA420,AA420)&gt;1,0,SUMPRODUCT((DailyRouteRecordTable[Route]=AA420)*(IF($B$6="All",1,IFERROR(--MID(DailyRouteRecordTable[Departure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0">
        <f>IF(AA420="","",IF(COUNTIF($AA$2:AA420,AA420)&gt;1,0,SUMPRODUCT((DailyRouteRecordTable[Route]=AA420)*(IF($B$6="All",1,IFERROR(--MID(DailyRouteRecordTable[Departure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0">
        <f>IF(AB420&lt;=0,"",RANK(AB420,$AB$2:$AB$501,0)+COUNTIFS($AB$2:AB420,AB420)-1)</f>
        <v/>
      </c>
      <c r="AE420">
        <f>IF(AC420&lt;=0,"",RANK(AC420,$AC$2:$AC$501,0)+COUNTIFS($AC$2:AC420,AC420)-1)</f>
        <v/>
      </c>
    </row>
    <row r="421">
      <c r="AA421">
        <f>IFERROR(INDEX(DailyRouteRecordTable[Route],ROW()-1),"")</f>
        <v/>
      </c>
      <c r="AB421">
        <f>IF(AA421="","",IF(COUNTIF($AA$2:AA421,AA421)&gt;1,0,SUMPRODUCT((DailyRouteRecordTable[Route]=AA421)*(IF($B$6="All",1,IFERROR(--MID(DailyRouteRecordTable[Departure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1">
        <f>IF(AA421="","",IF(COUNTIF($AA$2:AA421,AA421)&gt;1,0,SUMPRODUCT((DailyRouteRecordTable[Route]=AA421)*(IF($B$6="All",1,IFERROR(--MID(DailyRouteRecordTable[Departure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1">
        <f>IF(AB421&lt;=0,"",RANK(AB421,$AB$2:$AB$501,0)+COUNTIFS($AB$2:AB421,AB421)-1)</f>
        <v/>
      </c>
      <c r="AE421">
        <f>IF(AC421&lt;=0,"",RANK(AC421,$AC$2:$AC$501,0)+COUNTIFS($AC$2:AC421,AC421)-1)</f>
        <v/>
      </c>
    </row>
    <row r="422">
      <c r="AA422">
        <f>IFERROR(INDEX(DailyRouteRecordTable[Route],ROW()-1),"")</f>
        <v/>
      </c>
      <c r="AB422">
        <f>IF(AA422="","",IF(COUNTIF($AA$2:AA422,AA422)&gt;1,0,SUMPRODUCT((DailyRouteRecordTable[Route]=AA422)*(IF($B$6="All",1,IFERROR(--MID(DailyRouteRecordTable[Departure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2">
        <f>IF(AA422="","",IF(COUNTIF($AA$2:AA422,AA422)&gt;1,0,SUMPRODUCT((DailyRouteRecordTable[Route]=AA422)*(IF($B$6="All",1,IFERROR(--MID(DailyRouteRecordTable[Departure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2">
        <f>IF(AB422&lt;=0,"",RANK(AB422,$AB$2:$AB$501,0)+COUNTIFS($AB$2:AB422,AB422)-1)</f>
        <v/>
      </c>
      <c r="AE422">
        <f>IF(AC422&lt;=0,"",RANK(AC422,$AC$2:$AC$501,0)+COUNTIFS($AC$2:AC422,AC422)-1)</f>
        <v/>
      </c>
    </row>
    <row r="423">
      <c r="AA423">
        <f>IFERROR(INDEX(DailyRouteRecordTable[Route],ROW()-1),"")</f>
        <v/>
      </c>
      <c r="AB423">
        <f>IF(AA423="","",IF(COUNTIF($AA$2:AA423,AA423)&gt;1,0,SUMPRODUCT((DailyRouteRecordTable[Route]=AA423)*(IF($B$6="All",1,IFERROR(--MID(DailyRouteRecordTable[Departure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3">
        <f>IF(AA423="","",IF(COUNTIF($AA$2:AA423,AA423)&gt;1,0,SUMPRODUCT((DailyRouteRecordTable[Route]=AA423)*(IF($B$6="All",1,IFERROR(--MID(DailyRouteRecordTable[Departure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3">
        <f>IF(AB423&lt;=0,"",RANK(AB423,$AB$2:$AB$501,0)+COUNTIFS($AB$2:AB423,AB423)-1)</f>
        <v/>
      </c>
      <c r="AE423">
        <f>IF(AC423&lt;=0,"",RANK(AC423,$AC$2:$AC$501,0)+COUNTIFS($AC$2:AC423,AC423)-1)</f>
        <v/>
      </c>
    </row>
    <row r="424">
      <c r="AA424">
        <f>IFERROR(INDEX(DailyRouteRecordTable[Route],ROW()-1),"")</f>
        <v/>
      </c>
      <c r="AB424">
        <f>IF(AA424="","",IF(COUNTIF($AA$2:AA424,AA424)&gt;1,0,SUMPRODUCT((DailyRouteRecordTable[Route]=AA424)*(IF($B$6="All",1,IFERROR(--MID(DailyRouteRecordTable[Departure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4">
        <f>IF(AA424="","",IF(COUNTIF($AA$2:AA424,AA424)&gt;1,0,SUMPRODUCT((DailyRouteRecordTable[Route]=AA424)*(IF($B$6="All",1,IFERROR(--MID(DailyRouteRecordTable[Departure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4">
        <f>IF(AB424&lt;=0,"",RANK(AB424,$AB$2:$AB$501,0)+COUNTIFS($AB$2:AB424,AB424)-1)</f>
        <v/>
      </c>
      <c r="AE424">
        <f>IF(AC424&lt;=0,"",RANK(AC424,$AC$2:$AC$501,0)+COUNTIFS($AC$2:AC424,AC424)-1)</f>
        <v/>
      </c>
    </row>
    <row r="425">
      <c r="AA425">
        <f>IFERROR(INDEX(DailyRouteRecordTable[Route],ROW()-1),"")</f>
        <v/>
      </c>
      <c r="AB425">
        <f>IF(AA425="","",IF(COUNTIF($AA$2:AA425,AA425)&gt;1,0,SUMPRODUCT((DailyRouteRecordTable[Route]=AA425)*(IF($B$6="All",1,IFERROR(--MID(DailyRouteRecordTable[Departure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5">
        <f>IF(AA425="","",IF(COUNTIF($AA$2:AA425,AA425)&gt;1,0,SUMPRODUCT((DailyRouteRecordTable[Route]=AA425)*(IF($B$6="All",1,IFERROR(--MID(DailyRouteRecordTable[Departure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5">
        <f>IF(AB425&lt;=0,"",RANK(AB425,$AB$2:$AB$501,0)+COUNTIFS($AB$2:AB425,AB425)-1)</f>
        <v/>
      </c>
      <c r="AE425">
        <f>IF(AC425&lt;=0,"",RANK(AC425,$AC$2:$AC$501,0)+COUNTIFS($AC$2:AC425,AC425)-1)</f>
        <v/>
      </c>
    </row>
    <row r="426">
      <c r="AA426">
        <f>IFERROR(INDEX(DailyRouteRecordTable[Route],ROW()-1),"")</f>
        <v/>
      </c>
      <c r="AB426">
        <f>IF(AA426="","",IF(COUNTIF($AA$2:AA426,AA426)&gt;1,0,SUMPRODUCT((DailyRouteRecordTable[Route]=AA426)*(IF($B$6="All",1,IFERROR(--MID(DailyRouteRecordTable[Departure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6">
        <f>IF(AA426="","",IF(COUNTIF($AA$2:AA426,AA426)&gt;1,0,SUMPRODUCT((DailyRouteRecordTable[Route]=AA426)*(IF($B$6="All",1,IFERROR(--MID(DailyRouteRecordTable[Departure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6">
        <f>IF(AB426&lt;=0,"",RANK(AB426,$AB$2:$AB$501,0)+COUNTIFS($AB$2:AB426,AB426)-1)</f>
        <v/>
      </c>
      <c r="AE426">
        <f>IF(AC426&lt;=0,"",RANK(AC426,$AC$2:$AC$501,0)+COUNTIFS($AC$2:AC426,AC426)-1)</f>
        <v/>
      </c>
    </row>
    <row r="427">
      <c r="AA427">
        <f>IFERROR(INDEX(DailyRouteRecordTable[Route],ROW()-1),"")</f>
        <v/>
      </c>
      <c r="AB427">
        <f>IF(AA427="","",IF(COUNTIF($AA$2:AA427,AA427)&gt;1,0,SUMPRODUCT((DailyRouteRecordTable[Route]=AA427)*(IF($B$6="All",1,IFERROR(--MID(DailyRouteRecordTable[Departure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7">
        <f>IF(AA427="","",IF(COUNTIF($AA$2:AA427,AA427)&gt;1,0,SUMPRODUCT((DailyRouteRecordTable[Route]=AA427)*(IF($B$6="All",1,IFERROR(--MID(DailyRouteRecordTable[Departure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7">
        <f>IF(AB427&lt;=0,"",RANK(AB427,$AB$2:$AB$501,0)+COUNTIFS($AB$2:AB427,AB427)-1)</f>
        <v/>
      </c>
      <c r="AE427">
        <f>IF(AC427&lt;=0,"",RANK(AC427,$AC$2:$AC$501,0)+COUNTIFS($AC$2:AC427,AC427)-1)</f>
        <v/>
      </c>
    </row>
    <row r="428">
      <c r="AA428">
        <f>IFERROR(INDEX(DailyRouteRecordTable[Route],ROW()-1),"")</f>
        <v/>
      </c>
      <c r="AB428">
        <f>IF(AA428="","",IF(COUNTIF($AA$2:AA428,AA428)&gt;1,0,SUMPRODUCT((DailyRouteRecordTable[Route]=AA428)*(IF($B$6="All",1,IFERROR(--MID(DailyRouteRecordTable[Departure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8">
        <f>IF(AA428="","",IF(COUNTIF($AA$2:AA428,AA428)&gt;1,0,SUMPRODUCT((DailyRouteRecordTable[Route]=AA428)*(IF($B$6="All",1,IFERROR(--MID(DailyRouteRecordTable[Departure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8">
        <f>IF(AB428&lt;=0,"",RANK(AB428,$AB$2:$AB$501,0)+COUNTIFS($AB$2:AB428,AB428)-1)</f>
        <v/>
      </c>
      <c r="AE428">
        <f>IF(AC428&lt;=0,"",RANK(AC428,$AC$2:$AC$501,0)+COUNTIFS($AC$2:AC428,AC428)-1)</f>
        <v/>
      </c>
    </row>
    <row r="429">
      <c r="AA429">
        <f>IFERROR(INDEX(DailyRouteRecordTable[Route],ROW()-1),"")</f>
        <v/>
      </c>
      <c r="AB429">
        <f>IF(AA429="","",IF(COUNTIF($AA$2:AA429,AA429)&gt;1,0,SUMPRODUCT((DailyRouteRecordTable[Route]=AA429)*(IF($B$6="All",1,IFERROR(--MID(DailyRouteRecordTable[Departure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29">
        <f>IF(AA429="","",IF(COUNTIF($AA$2:AA429,AA429)&gt;1,0,SUMPRODUCT((DailyRouteRecordTable[Route]=AA429)*(IF($B$6="All",1,IFERROR(--MID(DailyRouteRecordTable[Departure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29">
        <f>IF(AB429&lt;=0,"",RANK(AB429,$AB$2:$AB$501,0)+COUNTIFS($AB$2:AB429,AB429)-1)</f>
        <v/>
      </c>
      <c r="AE429">
        <f>IF(AC429&lt;=0,"",RANK(AC429,$AC$2:$AC$501,0)+COUNTIFS($AC$2:AC429,AC429)-1)</f>
        <v/>
      </c>
    </row>
    <row r="430">
      <c r="AA430">
        <f>IFERROR(INDEX(DailyRouteRecordTable[Route],ROW()-1),"")</f>
        <v/>
      </c>
      <c r="AB430">
        <f>IF(AA430="","",IF(COUNTIF($AA$2:AA430,AA430)&gt;1,0,SUMPRODUCT((DailyRouteRecordTable[Route]=AA430)*(IF($B$6="All",1,IFERROR(--MID(DailyRouteRecordTable[Departure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0">
        <f>IF(AA430="","",IF(COUNTIF($AA$2:AA430,AA430)&gt;1,0,SUMPRODUCT((DailyRouteRecordTable[Route]=AA430)*(IF($B$6="All",1,IFERROR(--MID(DailyRouteRecordTable[Departure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0">
        <f>IF(AB430&lt;=0,"",RANK(AB430,$AB$2:$AB$501,0)+COUNTIFS($AB$2:AB430,AB430)-1)</f>
        <v/>
      </c>
      <c r="AE430">
        <f>IF(AC430&lt;=0,"",RANK(AC430,$AC$2:$AC$501,0)+COUNTIFS($AC$2:AC430,AC430)-1)</f>
        <v/>
      </c>
    </row>
    <row r="431">
      <c r="AA431">
        <f>IFERROR(INDEX(DailyRouteRecordTable[Route],ROW()-1),"")</f>
        <v/>
      </c>
      <c r="AB431">
        <f>IF(AA431="","",IF(COUNTIF($AA$2:AA431,AA431)&gt;1,0,SUMPRODUCT((DailyRouteRecordTable[Route]=AA431)*(IF($B$6="All",1,IFERROR(--MID(DailyRouteRecordTable[Departure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1">
        <f>IF(AA431="","",IF(COUNTIF($AA$2:AA431,AA431)&gt;1,0,SUMPRODUCT((DailyRouteRecordTable[Route]=AA431)*(IF($B$6="All",1,IFERROR(--MID(DailyRouteRecordTable[Departure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1">
        <f>IF(AB431&lt;=0,"",RANK(AB431,$AB$2:$AB$501,0)+COUNTIFS($AB$2:AB431,AB431)-1)</f>
        <v/>
      </c>
      <c r="AE431">
        <f>IF(AC431&lt;=0,"",RANK(AC431,$AC$2:$AC$501,0)+COUNTIFS($AC$2:AC431,AC431)-1)</f>
        <v/>
      </c>
    </row>
    <row r="432">
      <c r="AA432">
        <f>IFERROR(INDEX(DailyRouteRecordTable[Route],ROW()-1),"")</f>
        <v/>
      </c>
      <c r="AB432">
        <f>IF(AA432="","",IF(COUNTIF($AA$2:AA432,AA432)&gt;1,0,SUMPRODUCT((DailyRouteRecordTable[Route]=AA432)*(IF($B$6="All",1,IFERROR(--MID(DailyRouteRecordTable[Departure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2">
        <f>IF(AA432="","",IF(COUNTIF($AA$2:AA432,AA432)&gt;1,0,SUMPRODUCT((DailyRouteRecordTable[Route]=AA432)*(IF($B$6="All",1,IFERROR(--MID(DailyRouteRecordTable[Departure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2">
        <f>IF(AB432&lt;=0,"",RANK(AB432,$AB$2:$AB$501,0)+COUNTIFS($AB$2:AB432,AB432)-1)</f>
        <v/>
      </c>
      <c r="AE432">
        <f>IF(AC432&lt;=0,"",RANK(AC432,$AC$2:$AC$501,0)+COUNTIFS($AC$2:AC432,AC432)-1)</f>
        <v/>
      </c>
    </row>
    <row r="433">
      <c r="AA433">
        <f>IFERROR(INDEX(DailyRouteRecordTable[Route],ROW()-1),"")</f>
        <v/>
      </c>
      <c r="AB433">
        <f>IF(AA433="","",IF(COUNTIF($AA$2:AA433,AA433)&gt;1,0,SUMPRODUCT((DailyRouteRecordTable[Route]=AA433)*(IF($B$6="All",1,IFERROR(--MID(DailyRouteRecordTable[Departure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3">
        <f>IF(AA433="","",IF(COUNTIF($AA$2:AA433,AA433)&gt;1,0,SUMPRODUCT((DailyRouteRecordTable[Route]=AA433)*(IF($B$6="All",1,IFERROR(--MID(DailyRouteRecordTable[Departure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3">
        <f>IF(AB433&lt;=0,"",RANK(AB433,$AB$2:$AB$501,0)+COUNTIFS($AB$2:AB433,AB433)-1)</f>
        <v/>
      </c>
      <c r="AE433">
        <f>IF(AC433&lt;=0,"",RANK(AC433,$AC$2:$AC$501,0)+COUNTIFS($AC$2:AC433,AC433)-1)</f>
        <v/>
      </c>
    </row>
    <row r="434">
      <c r="AA434">
        <f>IFERROR(INDEX(DailyRouteRecordTable[Route],ROW()-1),"")</f>
        <v/>
      </c>
      <c r="AB434">
        <f>IF(AA434="","",IF(COUNTIF($AA$2:AA434,AA434)&gt;1,0,SUMPRODUCT((DailyRouteRecordTable[Route]=AA434)*(IF($B$6="All",1,IFERROR(--MID(DailyRouteRecordTable[Departure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4">
        <f>IF(AA434="","",IF(COUNTIF($AA$2:AA434,AA434)&gt;1,0,SUMPRODUCT((DailyRouteRecordTable[Route]=AA434)*(IF($B$6="All",1,IFERROR(--MID(DailyRouteRecordTable[Departure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4">
        <f>IF(AB434&lt;=0,"",RANK(AB434,$AB$2:$AB$501,0)+COUNTIFS($AB$2:AB434,AB434)-1)</f>
        <v/>
      </c>
      <c r="AE434">
        <f>IF(AC434&lt;=0,"",RANK(AC434,$AC$2:$AC$501,0)+COUNTIFS($AC$2:AC434,AC434)-1)</f>
        <v/>
      </c>
    </row>
    <row r="435">
      <c r="AA435">
        <f>IFERROR(INDEX(DailyRouteRecordTable[Route],ROW()-1),"")</f>
        <v/>
      </c>
      <c r="AB435">
        <f>IF(AA435="","",IF(COUNTIF($AA$2:AA435,AA435)&gt;1,0,SUMPRODUCT((DailyRouteRecordTable[Route]=AA435)*(IF($B$6="All",1,IFERROR(--MID(DailyRouteRecordTable[Departure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5">
        <f>IF(AA435="","",IF(COUNTIF($AA$2:AA435,AA435)&gt;1,0,SUMPRODUCT((DailyRouteRecordTable[Route]=AA435)*(IF($B$6="All",1,IFERROR(--MID(DailyRouteRecordTable[Departure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5">
        <f>IF(AB435&lt;=0,"",RANK(AB435,$AB$2:$AB$501,0)+COUNTIFS($AB$2:AB435,AB435)-1)</f>
        <v/>
      </c>
      <c r="AE435">
        <f>IF(AC435&lt;=0,"",RANK(AC435,$AC$2:$AC$501,0)+COUNTIFS($AC$2:AC435,AC435)-1)</f>
        <v/>
      </c>
    </row>
    <row r="436">
      <c r="AA436">
        <f>IFERROR(INDEX(DailyRouteRecordTable[Route],ROW()-1),"")</f>
        <v/>
      </c>
      <c r="AB436">
        <f>IF(AA436="","",IF(COUNTIF($AA$2:AA436,AA436)&gt;1,0,SUMPRODUCT((DailyRouteRecordTable[Route]=AA436)*(IF($B$6="All",1,IFERROR(--MID(DailyRouteRecordTable[Departure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6">
        <f>IF(AA436="","",IF(COUNTIF($AA$2:AA436,AA436)&gt;1,0,SUMPRODUCT((DailyRouteRecordTable[Route]=AA436)*(IF($B$6="All",1,IFERROR(--MID(DailyRouteRecordTable[Departure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6">
        <f>IF(AB436&lt;=0,"",RANK(AB436,$AB$2:$AB$501,0)+COUNTIFS($AB$2:AB436,AB436)-1)</f>
        <v/>
      </c>
      <c r="AE436">
        <f>IF(AC436&lt;=0,"",RANK(AC436,$AC$2:$AC$501,0)+COUNTIFS($AC$2:AC436,AC436)-1)</f>
        <v/>
      </c>
    </row>
    <row r="437">
      <c r="AA437">
        <f>IFERROR(INDEX(DailyRouteRecordTable[Route],ROW()-1),"")</f>
        <v/>
      </c>
      <c r="AB437">
        <f>IF(AA437="","",IF(COUNTIF($AA$2:AA437,AA437)&gt;1,0,SUMPRODUCT((DailyRouteRecordTable[Route]=AA437)*(IF($B$6="All",1,IFERROR(--MID(DailyRouteRecordTable[Departure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7">
        <f>IF(AA437="","",IF(COUNTIF($AA$2:AA437,AA437)&gt;1,0,SUMPRODUCT((DailyRouteRecordTable[Route]=AA437)*(IF($B$6="All",1,IFERROR(--MID(DailyRouteRecordTable[Departure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7">
        <f>IF(AB437&lt;=0,"",RANK(AB437,$AB$2:$AB$501,0)+COUNTIFS($AB$2:AB437,AB437)-1)</f>
        <v/>
      </c>
      <c r="AE437">
        <f>IF(AC437&lt;=0,"",RANK(AC437,$AC$2:$AC$501,0)+COUNTIFS($AC$2:AC437,AC437)-1)</f>
        <v/>
      </c>
    </row>
    <row r="438">
      <c r="AA438">
        <f>IFERROR(INDEX(DailyRouteRecordTable[Route],ROW()-1),"")</f>
        <v/>
      </c>
      <c r="AB438">
        <f>IF(AA438="","",IF(COUNTIF($AA$2:AA438,AA438)&gt;1,0,SUMPRODUCT((DailyRouteRecordTable[Route]=AA438)*(IF($B$6="All",1,IFERROR(--MID(DailyRouteRecordTable[Departure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8">
        <f>IF(AA438="","",IF(COUNTIF($AA$2:AA438,AA438)&gt;1,0,SUMPRODUCT((DailyRouteRecordTable[Route]=AA438)*(IF($B$6="All",1,IFERROR(--MID(DailyRouteRecordTable[Departure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8">
        <f>IF(AB438&lt;=0,"",RANK(AB438,$AB$2:$AB$501,0)+COUNTIFS($AB$2:AB438,AB438)-1)</f>
        <v/>
      </c>
      <c r="AE438">
        <f>IF(AC438&lt;=0,"",RANK(AC438,$AC$2:$AC$501,0)+COUNTIFS($AC$2:AC438,AC438)-1)</f>
        <v/>
      </c>
    </row>
    <row r="439">
      <c r="AA439">
        <f>IFERROR(INDEX(DailyRouteRecordTable[Route],ROW()-1),"")</f>
        <v/>
      </c>
      <c r="AB439">
        <f>IF(AA439="","",IF(COUNTIF($AA$2:AA439,AA439)&gt;1,0,SUMPRODUCT((DailyRouteRecordTable[Route]=AA439)*(IF($B$6="All",1,IFERROR(--MID(DailyRouteRecordTable[Departure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39">
        <f>IF(AA439="","",IF(COUNTIF($AA$2:AA439,AA439)&gt;1,0,SUMPRODUCT((DailyRouteRecordTable[Route]=AA439)*(IF($B$6="All",1,IFERROR(--MID(DailyRouteRecordTable[Departure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39">
        <f>IF(AB439&lt;=0,"",RANK(AB439,$AB$2:$AB$501,0)+COUNTIFS($AB$2:AB439,AB439)-1)</f>
        <v/>
      </c>
      <c r="AE439">
        <f>IF(AC439&lt;=0,"",RANK(AC439,$AC$2:$AC$501,0)+COUNTIFS($AC$2:AC439,AC439)-1)</f>
        <v/>
      </c>
    </row>
    <row r="440">
      <c r="AA440">
        <f>IFERROR(INDEX(DailyRouteRecordTable[Route],ROW()-1),"")</f>
        <v/>
      </c>
      <c r="AB440">
        <f>IF(AA440="","",IF(COUNTIF($AA$2:AA440,AA440)&gt;1,0,SUMPRODUCT((DailyRouteRecordTable[Route]=AA440)*(IF($B$6="All",1,IFERROR(--MID(DailyRouteRecordTable[Departure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0">
        <f>IF(AA440="","",IF(COUNTIF($AA$2:AA440,AA440)&gt;1,0,SUMPRODUCT((DailyRouteRecordTable[Route]=AA440)*(IF($B$6="All",1,IFERROR(--MID(DailyRouteRecordTable[Departure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0">
        <f>IF(AB440&lt;=0,"",RANK(AB440,$AB$2:$AB$501,0)+COUNTIFS($AB$2:AB440,AB440)-1)</f>
        <v/>
      </c>
      <c r="AE440">
        <f>IF(AC440&lt;=0,"",RANK(AC440,$AC$2:$AC$501,0)+COUNTIFS($AC$2:AC440,AC440)-1)</f>
        <v/>
      </c>
    </row>
    <row r="441">
      <c r="AA441">
        <f>IFERROR(INDEX(DailyRouteRecordTable[Route],ROW()-1),"")</f>
        <v/>
      </c>
      <c r="AB441">
        <f>IF(AA441="","",IF(COUNTIF($AA$2:AA441,AA441)&gt;1,0,SUMPRODUCT((DailyRouteRecordTable[Route]=AA441)*(IF($B$6="All",1,IFERROR(--MID(DailyRouteRecordTable[Departure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1">
        <f>IF(AA441="","",IF(COUNTIF($AA$2:AA441,AA441)&gt;1,0,SUMPRODUCT((DailyRouteRecordTable[Route]=AA441)*(IF($B$6="All",1,IFERROR(--MID(DailyRouteRecordTable[Departure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1">
        <f>IF(AB441&lt;=0,"",RANK(AB441,$AB$2:$AB$501,0)+COUNTIFS($AB$2:AB441,AB441)-1)</f>
        <v/>
      </c>
      <c r="AE441">
        <f>IF(AC441&lt;=0,"",RANK(AC441,$AC$2:$AC$501,0)+COUNTIFS($AC$2:AC441,AC441)-1)</f>
        <v/>
      </c>
    </row>
    <row r="442">
      <c r="AA442">
        <f>IFERROR(INDEX(DailyRouteRecordTable[Route],ROW()-1),"")</f>
        <v/>
      </c>
      <c r="AB442">
        <f>IF(AA442="","",IF(COUNTIF($AA$2:AA442,AA442)&gt;1,0,SUMPRODUCT((DailyRouteRecordTable[Route]=AA442)*(IF($B$6="All",1,IFERROR(--MID(DailyRouteRecordTable[Departure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2">
        <f>IF(AA442="","",IF(COUNTIF($AA$2:AA442,AA442)&gt;1,0,SUMPRODUCT((DailyRouteRecordTable[Route]=AA442)*(IF($B$6="All",1,IFERROR(--MID(DailyRouteRecordTable[Departure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2">
        <f>IF(AB442&lt;=0,"",RANK(AB442,$AB$2:$AB$501,0)+COUNTIFS($AB$2:AB442,AB442)-1)</f>
        <v/>
      </c>
      <c r="AE442">
        <f>IF(AC442&lt;=0,"",RANK(AC442,$AC$2:$AC$501,0)+COUNTIFS($AC$2:AC442,AC442)-1)</f>
        <v/>
      </c>
    </row>
    <row r="443">
      <c r="AA443">
        <f>IFERROR(INDEX(DailyRouteRecordTable[Route],ROW()-1),"")</f>
        <v/>
      </c>
      <c r="AB443">
        <f>IF(AA443="","",IF(COUNTIF($AA$2:AA443,AA443)&gt;1,0,SUMPRODUCT((DailyRouteRecordTable[Route]=AA443)*(IF($B$6="All",1,IFERROR(--MID(DailyRouteRecordTable[Departure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3">
        <f>IF(AA443="","",IF(COUNTIF($AA$2:AA443,AA443)&gt;1,0,SUMPRODUCT((DailyRouteRecordTable[Route]=AA443)*(IF($B$6="All",1,IFERROR(--MID(DailyRouteRecordTable[Departure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3">
        <f>IF(AB443&lt;=0,"",RANK(AB443,$AB$2:$AB$501,0)+COUNTIFS($AB$2:AB443,AB443)-1)</f>
        <v/>
      </c>
      <c r="AE443">
        <f>IF(AC443&lt;=0,"",RANK(AC443,$AC$2:$AC$501,0)+COUNTIFS($AC$2:AC443,AC443)-1)</f>
        <v/>
      </c>
    </row>
    <row r="444">
      <c r="AA444">
        <f>IFERROR(INDEX(DailyRouteRecordTable[Route],ROW()-1),"")</f>
        <v/>
      </c>
      <c r="AB444">
        <f>IF(AA444="","",IF(COUNTIF($AA$2:AA444,AA444)&gt;1,0,SUMPRODUCT((DailyRouteRecordTable[Route]=AA444)*(IF($B$6="All",1,IFERROR(--MID(DailyRouteRecordTable[Departure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4">
        <f>IF(AA444="","",IF(COUNTIF($AA$2:AA444,AA444)&gt;1,0,SUMPRODUCT((DailyRouteRecordTable[Route]=AA444)*(IF($B$6="All",1,IFERROR(--MID(DailyRouteRecordTable[Departure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4">
        <f>IF(AB444&lt;=0,"",RANK(AB444,$AB$2:$AB$501,0)+COUNTIFS($AB$2:AB444,AB444)-1)</f>
        <v/>
      </c>
      <c r="AE444">
        <f>IF(AC444&lt;=0,"",RANK(AC444,$AC$2:$AC$501,0)+COUNTIFS($AC$2:AC444,AC444)-1)</f>
        <v/>
      </c>
    </row>
    <row r="445">
      <c r="AA445">
        <f>IFERROR(INDEX(DailyRouteRecordTable[Route],ROW()-1),"")</f>
        <v/>
      </c>
      <c r="AB445">
        <f>IF(AA445="","",IF(COUNTIF($AA$2:AA445,AA445)&gt;1,0,SUMPRODUCT((DailyRouteRecordTable[Route]=AA445)*(IF($B$6="All",1,IFERROR(--MID(DailyRouteRecordTable[Departure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5">
        <f>IF(AA445="","",IF(COUNTIF($AA$2:AA445,AA445)&gt;1,0,SUMPRODUCT((DailyRouteRecordTable[Route]=AA445)*(IF($B$6="All",1,IFERROR(--MID(DailyRouteRecordTable[Departure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5">
        <f>IF(AB445&lt;=0,"",RANK(AB445,$AB$2:$AB$501,0)+COUNTIFS($AB$2:AB445,AB445)-1)</f>
        <v/>
      </c>
      <c r="AE445">
        <f>IF(AC445&lt;=0,"",RANK(AC445,$AC$2:$AC$501,0)+COUNTIFS($AC$2:AC445,AC445)-1)</f>
        <v/>
      </c>
    </row>
    <row r="446">
      <c r="AA446">
        <f>IFERROR(INDEX(DailyRouteRecordTable[Route],ROW()-1),"")</f>
        <v/>
      </c>
      <c r="AB446">
        <f>IF(AA446="","",IF(COUNTIF($AA$2:AA446,AA446)&gt;1,0,SUMPRODUCT((DailyRouteRecordTable[Route]=AA446)*(IF($B$6="All",1,IFERROR(--MID(DailyRouteRecordTable[Departure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6">
        <f>IF(AA446="","",IF(COUNTIF($AA$2:AA446,AA446)&gt;1,0,SUMPRODUCT((DailyRouteRecordTable[Route]=AA446)*(IF($B$6="All",1,IFERROR(--MID(DailyRouteRecordTable[Departure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6">
        <f>IF(AB446&lt;=0,"",RANK(AB446,$AB$2:$AB$501,0)+COUNTIFS($AB$2:AB446,AB446)-1)</f>
        <v/>
      </c>
      <c r="AE446">
        <f>IF(AC446&lt;=0,"",RANK(AC446,$AC$2:$AC$501,0)+COUNTIFS($AC$2:AC446,AC446)-1)</f>
        <v/>
      </c>
    </row>
    <row r="447">
      <c r="AA447">
        <f>IFERROR(INDEX(DailyRouteRecordTable[Route],ROW()-1),"")</f>
        <v/>
      </c>
      <c r="AB447">
        <f>IF(AA447="","",IF(COUNTIF($AA$2:AA447,AA447)&gt;1,0,SUMPRODUCT((DailyRouteRecordTable[Route]=AA447)*(IF($B$6="All",1,IFERROR(--MID(DailyRouteRecordTable[Departure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7">
        <f>IF(AA447="","",IF(COUNTIF($AA$2:AA447,AA447)&gt;1,0,SUMPRODUCT((DailyRouteRecordTable[Route]=AA447)*(IF($B$6="All",1,IFERROR(--MID(DailyRouteRecordTable[Departure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7">
        <f>IF(AB447&lt;=0,"",RANK(AB447,$AB$2:$AB$501,0)+COUNTIFS($AB$2:AB447,AB447)-1)</f>
        <v/>
      </c>
      <c r="AE447">
        <f>IF(AC447&lt;=0,"",RANK(AC447,$AC$2:$AC$501,0)+COUNTIFS($AC$2:AC447,AC447)-1)</f>
        <v/>
      </c>
    </row>
    <row r="448">
      <c r="AA448">
        <f>IFERROR(INDEX(DailyRouteRecordTable[Route],ROW()-1),"")</f>
        <v/>
      </c>
      <c r="AB448">
        <f>IF(AA448="","",IF(COUNTIF($AA$2:AA448,AA448)&gt;1,0,SUMPRODUCT((DailyRouteRecordTable[Route]=AA448)*(IF($B$6="All",1,IFERROR(--MID(DailyRouteRecordTable[Departure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8">
        <f>IF(AA448="","",IF(COUNTIF($AA$2:AA448,AA448)&gt;1,0,SUMPRODUCT((DailyRouteRecordTable[Route]=AA448)*(IF($B$6="All",1,IFERROR(--MID(DailyRouteRecordTable[Departure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8">
        <f>IF(AB448&lt;=0,"",RANK(AB448,$AB$2:$AB$501,0)+COUNTIFS($AB$2:AB448,AB448)-1)</f>
        <v/>
      </c>
      <c r="AE448">
        <f>IF(AC448&lt;=0,"",RANK(AC448,$AC$2:$AC$501,0)+COUNTIFS($AC$2:AC448,AC448)-1)</f>
        <v/>
      </c>
    </row>
    <row r="449">
      <c r="AA449">
        <f>IFERROR(INDEX(DailyRouteRecordTable[Route],ROW()-1),"")</f>
        <v/>
      </c>
      <c r="AB449">
        <f>IF(AA449="","",IF(COUNTIF($AA$2:AA449,AA449)&gt;1,0,SUMPRODUCT((DailyRouteRecordTable[Route]=AA449)*(IF($B$6="All",1,IFERROR(--MID(DailyRouteRecordTable[Departure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49">
        <f>IF(AA449="","",IF(COUNTIF($AA$2:AA449,AA449)&gt;1,0,SUMPRODUCT((DailyRouteRecordTable[Route]=AA449)*(IF($B$6="All",1,IFERROR(--MID(DailyRouteRecordTable[Departure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49">
        <f>IF(AB449&lt;=0,"",RANK(AB449,$AB$2:$AB$501,0)+COUNTIFS($AB$2:AB449,AB449)-1)</f>
        <v/>
      </c>
      <c r="AE449">
        <f>IF(AC449&lt;=0,"",RANK(AC449,$AC$2:$AC$501,0)+COUNTIFS($AC$2:AC449,AC449)-1)</f>
        <v/>
      </c>
    </row>
    <row r="450">
      <c r="AA450">
        <f>IFERROR(INDEX(DailyRouteRecordTable[Route],ROW()-1),"")</f>
        <v/>
      </c>
      <c r="AB450">
        <f>IF(AA450="","",IF(COUNTIF($AA$2:AA450,AA450)&gt;1,0,SUMPRODUCT((DailyRouteRecordTable[Route]=AA450)*(IF($B$6="All",1,IFERROR(--MID(DailyRouteRecordTable[Departure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0">
        <f>IF(AA450="","",IF(COUNTIF($AA$2:AA450,AA450)&gt;1,0,SUMPRODUCT((DailyRouteRecordTable[Route]=AA450)*(IF($B$6="All",1,IFERROR(--MID(DailyRouteRecordTable[Departure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0">
        <f>IF(AB450&lt;=0,"",RANK(AB450,$AB$2:$AB$501,0)+COUNTIFS($AB$2:AB450,AB450)-1)</f>
        <v/>
      </c>
      <c r="AE450">
        <f>IF(AC450&lt;=0,"",RANK(AC450,$AC$2:$AC$501,0)+COUNTIFS($AC$2:AC450,AC450)-1)</f>
        <v/>
      </c>
    </row>
    <row r="451">
      <c r="AA451">
        <f>IFERROR(INDEX(DailyRouteRecordTable[Route],ROW()-1),"")</f>
        <v/>
      </c>
      <c r="AB451">
        <f>IF(AA451="","",IF(COUNTIF($AA$2:AA451,AA451)&gt;1,0,SUMPRODUCT((DailyRouteRecordTable[Route]=AA451)*(IF($B$6="All",1,IFERROR(--MID(DailyRouteRecordTable[Departure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1">
        <f>IF(AA451="","",IF(COUNTIF($AA$2:AA451,AA451)&gt;1,0,SUMPRODUCT((DailyRouteRecordTable[Route]=AA451)*(IF($B$6="All",1,IFERROR(--MID(DailyRouteRecordTable[Departure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1">
        <f>IF(AB451&lt;=0,"",RANK(AB451,$AB$2:$AB$501,0)+COUNTIFS($AB$2:AB451,AB451)-1)</f>
        <v/>
      </c>
      <c r="AE451">
        <f>IF(AC451&lt;=0,"",RANK(AC451,$AC$2:$AC$501,0)+COUNTIFS($AC$2:AC451,AC451)-1)</f>
        <v/>
      </c>
    </row>
    <row r="452">
      <c r="AA452">
        <f>IFERROR(INDEX(DailyRouteRecordTable[Route],ROW()-1),"")</f>
        <v/>
      </c>
      <c r="AB452">
        <f>IF(AA452="","",IF(COUNTIF($AA$2:AA452,AA452)&gt;1,0,SUMPRODUCT((DailyRouteRecordTable[Route]=AA452)*(IF($B$6="All",1,IFERROR(--MID(DailyRouteRecordTable[Departure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2">
        <f>IF(AA452="","",IF(COUNTIF($AA$2:AA452,AA452)&gt;1,0,SUMPRODUCT((DailyRouteRecordTable[Route]=AA452)*(IF($B$6="All",1,IFERROR(--MID(DailyRouteRecordTable[Departure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2">
        <f>IF(AB452&lt;=0,"",RANK(AB452,$AB$2:$AB$501,0)+COUNTIFS($AB$2:AB452,AB452)-1)</f>
        <v/>
      </c>
      <c r="AE452">
        <f>IF(AC452&lt;=0,"",RANK(AC452,$AC$2:$AC$501,0)+COUNTIFS($AC$2:AC452,AC452)-1)</f>
        <v/>
      </c>
    </row>
    <row r="453">
      <c r="AA453">
        <f>IFERROR(INDEX(DailyRouteRecordTable[Route],ROW()-1),"")</f>
        <v/>
      </c>
      <c r="AB453">
        <f>IF(AA453="","",IF(COUNTIF($AA$2:AA453,AA453)&gt;1,0,SUMPRODUCT((DailyRouteRecordTable[Route]=AA453)*(IF($B$6="All",1,IFERROR(--MID(DailyRouteRecordTable[Departure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3">
        <f>IF(AA453="","",IF(COUNTIF($AA$2:AA453,AA453)&gt;1,0,SUMPRODUCT((DailyRouteRecordTable[Route]=AA453)*(IF($B$6="All",1,IFERROR(--MID(DailyRouteRecordTable[Departure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3">
        <f>IF(AB453&lt;=0,"",RANK(AB453,$AB$2:$AB$501,0)+COUNTIFS($AB$2:AB453,AB453)-1)</f>
        <v/>
      </c>
      <c r="AE453">
        <f>IF(AC453&lt;=0,"",RANK(AC453,$AC$2:$AC$501,0)+COUNTIFS($AC$2:AC453,AC453)-1)</f>
        <v/>
      </c>
    </row>
    <row r="454">
      <c r="AA454">
        <f>IFERROR(INDEX(DailyRouteRecordTable[Route],ROW()-1),"")</f>
        <v/>
      </c>
      <c r="AB454">
        <f>IF(AA454="","",IF(COUNTIF($AA$2:AA454,AA454)&gt;1,0,SUMPRODUCT((DailyRouteRecordTable[Route]=AA454)*(IF($B$6="All",1,IFERROR(--MID(DailyRouteRecordTable[Departure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4">
        <f>IF(AA454="","",IF(COUNTIF($AA$2:AA454,AA454)&gt;1,0,SUMPRODUCT((DailyRouteRecordTable[Route]=AA454)*(IF($B$6="All",1,IFERROR(--MID(DailyRouteRecordTable[Departure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4">
        <f>IF(AB454&lt;=0,"",RANK(AB454,$AB$2:$AB$501,0)+COUNTIFS($AB$2:AB454,AB454)-1)</f>
        <v/>
      </c>
      <c r="AE454">
        <f>IF(AC454&lt;=0,"",RANK(AC454,$AC$2:$AC$501,0)+COUNTIFS($AC$2:AC454,AC454)-1)</f>
        <v/>
      </c>
    </row>
    <row r="455">
      <c r="AA455">
        <f>IFERROR(INDEX(DailyRouteRecordTable[Route],ROW()-1),"")</f>
        <v/>
      </c>
      <c r="AB455">
        <f>IF(AA455="","",IF(COUNTIF($AA$2:AA455,AA455)&gt;1,0,SUMPRODUCT((DailyRouteRecordTable[Route]=AA455)*(IF($B$6="All",1,IFERROR(--MID(DailyRouteRecordTable[Departure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5">
        <f>IF(AA455="","",IF(COUNTIF($AA$2:AA455,AA455)&gt;1,0,SUMPRODUCT((DailyRouteRecordTable[Route]=AA455)*(IF($B$6="All",1,IFERROR(--MID(DailyRouteRecordTable[Departure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5">
        <f>IF(AB455&lt;=0,"",RANK(AB455,$AB$2:$AB$501,0)+COUNTIFS($AB$2:AB455,AB455)-1)</f>
        <v/>
      </c>
      <c r="AE455">
        <f>IF(AC455&lt;=0,"",RANK(AC455,$AC$2:$AC$501,0)+COUNTIFS($AC$2:AC455,AC455)-1)</f>
        <v/>
      </c>
    </row>
    <row r="456">
      <c r="AA456">
        <f>IFERROR(INDEX(DailyRouteRecordTable[Route],ROW()-1),"")</f>
        <v/>
      </c>
      <c r="AB456">
        <f>IF(AA456="","",IF(COUNTIF($AA$2:AA456,AA456)&gt;1,0,SUMPRODUCT((DailyRouteRecordTable[Route]=AA456)*(IF($B$6="All",1,IFERROR(--MID(DailyRouteRecordTable[Departure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6">
        <f>IF(AA456="","",IF(COUNTIF($AA$2:AA456,AA456)&gt;1,0,SUMPRODUCT((DailyRouteRecordTable[Route]=AA456)*(IF($B$6="All",1,IFERROR(--MID(DailyRouteRecordTable[Departure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6">
        <f>IF(AB456&lt;=0,"",RANK(AB456,$AB$2:$AB$501,0)+COUNTIFS($AB$2:AB456,AB456)-1)</f>
        <v/>
      </c>
      <c r="AE456">
        <f>IF(AC456&lt;=0,"",RANK(AC456,$AC$2:$AC$501,0)+COUNTIFS($AC$2:AC456,AC456)-1)</f>
        <v/>
      </c>
    </row>
    <row r="457">
      <c r="AA457">
        <f>IFERROR(INDEX(DailyRouteRecordTable[Route],ROW()-1),"")</f>
        <v/>
      </c>
      <c r="AB457">
        <f>IF(AA457="","",IF(COUNTIF($AA$2:AA457,AA457)&gt;1,0,SUMPRODUCT((DailyRouteRecordTable[Route]=AA457)*(IF($B$6="All",1,IFERROR(--MID(DailyRouteRecordTable[Departure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7">
        <f>IF(AA457="","",IF(COUNTIF($AA$2:AA457,AA457)&gt;1,0,SUMPRODUCT((DailyRouteRecordTable[Route]=AA457)*(IF($B$6="All",1,IFERROR(--MID(DailyRouteRecordTable[Departure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7">
        <f>IF(AB457&lt;=0,"",RANK(AB457,$AB$2:$AB$501,0)+COUNTIFS($AB$2:AB457,AB457)-1)</f>
        <v/>
      </c>
      <c r="AE457">
        <f>IF(AC457&lt;=0,"",RANK(AC457,$AC$2:$AC$501,0)+COUNTIFS($AC$2:AC457,AC457)-1)</f>
        <v/>
      </c>
    </row>
    <row r="458">
      <c r="AA458">
        <f>IFERROR(INDEX(DailyRouteRecordTable[Route],ROW()-1),"")</f>
        <v/>
      </c>
      <c r="AB458">
        <f>IF(AA458="","",IF(COUNTIF($AA$2:AA458,AA458)&gt;1,0,SUMPRODUCT((DailyRouteRecordTable[Route]=AA458)*(IF($B$6="All",1,IFERROR(--MID(DailyRouteRecordTable[Departure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8">
        <f>IF(AA458="","",IF(COUNTIF($AA$2:AA458,AA458)&gt;1,0,SUMPRODUCT((DailyRouteRecordTable[Route]=AA458)*(IF($B$6="All",1,IFERROR(--MID(DailyRouteRecordTable[Departure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8">
        <f>IF(AB458&lt;=0,"",RANK(AB458,$AB$2:$AB$501,0)+COUNTIFS($AB$2:AB458,AB458)-1)</f>
        <v/>
      </c>
      <c r="AE458">
        <f>IF(AC458&lt;=0,"",RANK(AC458,$AC$2:$AC$501,0)+COUNTIFS($AC$2:AC458,AC458)-1)</f>
        <v/>
      </c>
    </row>
    <row r="459">
      <c r="AA459">
        <f>IFERROR(INDEX(DailyRouteRecordTable[Route],ROW()-1),"")</f>
        <v/>
      </c>
      <c r="AB459">
        <f>IF(AA459="","",IF(COUNTIF($AA$2:AA459,AA459)&gt;1,0,SUMPRODUCT((DailyRouteRecordTable[Route]=AA459)*(IF($B$6="All",1,IFERROR(--MID(DailyRouteRecordTable[Departure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59">
        <f>IF(AA459="","",IF(COUNTIF($AA$2:AA459,AA459)&gt;1,0,SUMPRODUCT((DailyRouteRecordTable[Route]=AA459)*(IF($B$6="All",1,IFERROR(--MID(DailyRouteRecordTable[Departure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59">
        <f>IF(AB459&lt;=0,"",RANK(AB459,$AB$2:$AB$501,0)+COUNTIFS($AB$2:AB459,AB459)-1)</f>
        <v/>
      </c>
      <c r="AE459">
        <f>IF(AC459&lt;=0,"",RANK(AC459,$AC$2:$AC$501,0)+COUNTIFS($AC$2:AC459,AC459)-1)</f>
        <v/>
      </c>
    </row>
    <row r="460">
      <c r="AA460">
        <f>IFERROR(INDEX(DailyRouteRecordTable[Route],ROW()-1),"")</f>
        <v/>
      </c>
      <c r="AB460">
        <f>IF(AA460="","",IF(COUNTIF($AA$2:AA460,AA460)&gt;1,0,SUMPRODUCT((DailyRouteRecordTable[Route]=AA460)*(IF($B$6="All",1,IFERROR(--MID(DailyRouteRecordTable[Departure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0">
        <f>IF(AA460="","",IF(COUNTIF($AA$2:AA460,AA460)&gt;1,0,SUMPRODUCT((DailyRouteRecordTable[Route]=AA460)*(IF($B$6="All",1,IFERROR(--MID(DailyRouteRecordTable[Departure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0">
        <f>IF(AB460&lt;=0,"",RANK(AB460,$AB$2:$AB$501,0)+COUNTIFS($AB$2:AB460,AB460)-1)</f>
        <v/>
      </c>
      <c r="AE460">
        <f>IF(AC460&lt;=0,"",RANK(AC460,$AC$2:$AC$501,0)+COUNTIFS($AC$2:AC460,AC460)-1)</f>
        <v/>
      </c>
    </row>
    <row r="461">
      <c r="AA461">
        <f>IFERROR(INDEX(DailyRouteRecordTable[Route],ROW()-1),"")</f>
        <v/>
      </c>
      <c r="AB461">
        <f>IF(AA461="","",IF(COUNTIF($AA$2:AA461,AA461)&gt;1,0,SUMPRODUCT((DailyRouteRecordTable[Route]=AA461)*(IF($B$6="All",1,IFERROR(--MID(DailyRouteRecordTable[Departure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1">
        <f>IF(AA461="","",IF(COUNTIF($AA$2:AA461,AA461)&gt;1,0,SUMPRODUCT((DailyRouteRecordTable[Route]=AA461)*(IF($B$6="All",1,IFERROR(--MID(DailyRouteRecordTable[Departure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1">
        <f>IF(AB461&lt;=0,"",RANK(AB461,$AB$2:$AB$501,0)+COUNTIFS($AB$2:AB461,AB461)-1)</f>
        <v/>
      </c>
      <c r="AE461">
        <f>IF(AC461&lt;=0,"",RANK(AC461,$AC$2:$AC$501,0)+COUNTIFS($AC$2:AC461,AC461)-1)</f>
        <v/>
      </c>
    </row>
    <row r="462">
      <c r="AA462">
        <f>IFERROR(INDEX(DailyRouteRecordTable[Route],ROW()-1),"")</f>
        <v/>
      </c>
      <c r="AB462">
        <f>IF(AA462="","",IF(COUNTIF($AA$2:AA462,AA462)&gt;1,0,SUMPRODUCT((DailyRouteRecordTable[Route]=AA462)*(IF($B$6="All",1,IFERROR(--MID(DailyRouteRecordTable[Departure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2">
        <f>IF(AA462="","",IF(COUNTIF($AA$2:AA462,AA462)&gt;1,0,SUMPRODUCT((DailyRouteRecordTable[Route]=AA462)*(IF($B$6="All",1,IFERROR(--MID(DailyRouteRecordTable[Departure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2">
        <f>IF(AB462&lt;=0,"",RANK(AB462,$AB$2:$AB$501,0)+COUNTIFS($AB$2:AB462,AB462)-1)</f>
        <v/>
      </c>
      <c r="AE462">
        <f>IF(AC462&lt;=0,"",RANK(AC462,$AC$2:$AC$501,0)+COUNTIFS($AC$2:AC462,AC462)-1)</f>
        <v/>
      </c>
    </row>
    <row r="463">
      <c r="AA463">
        <f>IFERROR(INDEX(DailyRouteRecordTable[Route],ROW()-1),"")</f>
        <v/>
      </c>
      <c r="AB463">
        <f>IF(AA463="","",IF(COUNTIF($AA$2:AA463,AA463)&gt;1,0,SUMPRODUCT((DailyRouteRecordTable[Route]=AA463)*(IF($B$6="All",1,IFERROR(--MID(DailyRouteRecordTable[Departure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3">
        <f>IF(AA463="","",IF(COUNTIF($AA$2:AA463,AA463)&gt;1,0,SUMPRODUCT((DailyRouteRecordTable[Route]=AA463)*(IF($B$6="All",1,IFERROR(--MID(DailyRouteRecordTable[Departure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3">
        <f>IF(AB463&lt;=0,"",RANK(AB463,$AB$2:$AB$501,0)+COUNTIFS($AB$2:AB463,AB463)-1)</f>
        <v/>
      </c>
      <c r="AE463">
        <f>IF(AC463&lt;=0,"",RANK(AC463,$AC$2:$AC$501,0)+COUNTIFS($AC$2:AC463,AC463)-1)</f>
        <v/>
      </c>
    </row>
    <row r="464">
      <c r="AA464">
        <f>IFERROR(INDEX(DailyRouteRecordTable[Route],ROW()-1),"")</f>
        <v/>
      </c>
      <c r="AB464">
        <f>IF(AA464="","",IF(COUNTIF($AA$2:AA464,AA464)&gt;1,0,SUMPRODUCT((DailyRouteRecordTable[Route]=AA464)*(IF($B$6="All",1,IFERROR(--MID(DailyRouteRecordTable[Departure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4">
        <f>IF(AA464="","",IF(COUNTIF($AA$2:AA464,AA464)&gt;1,0,SUMPRODUCT((DailyRouteRecordTable[Route]=AA464)*(IF($B$6="All",1,IFERROR(--MID(DailyRouteRecordTable[Departure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4">
        <f>IF(AB464&lt;=0,"",RANK(AB464,$AB$2:$AB$501,0)+COUNTIFS($AB$2:AB464,AB464)-1)</f>
        <v/>
      </c>
      <c r="AE464">
        <f>IF(AC464&lt;=0,"",RANK(AC464,$AC$2:$AC$501,0)+COUNTIFS($AC$2:AC464,AC464)-1)</f>
        <v/>
      </c>
    </row>
    <row r="465">
      <c r="AA465">
        <f>IFERROR(INDEX(DailyRouteRecordTable[Route],ROW()-1),"")</f>
        <v/>
      </c>
      <c r="AB465">
        <f>IF(AA465="","",IF(COUNTIF($AA$2:AA465,AA465)&gt;1,0,SUMPRODUCT((DailyRouteRecordTable[Route]=AA465)*(IF($B$6="All",1,IFERROR(--MID(DailyRouteRecordTable[Departure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5">
        <f>IF(AA465="","",IF(COUNTIF($AA$2:AA465,AA465)&gt;1,0,SUMPRODUCT((DailyRouteRecordTable[Route]=AA465)*(IF($B$6="All",1,IFERROR(--MID(DailyRouteRecordTable[Departure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5">
        <f>IF(AB465&lt;=0,"",RANK(AB465,$AB$2:$AB$501,0)+COUNTIFS($AB$2:AB465,AB465)-1)</f>
        <v/>
      </c>
      <c r="AE465">
        <f>IF(AC465&lt;=0,"",RANK(AC465,$AC$2:$AC$501,0)+COUNTIFS($AC$2:AC465,AC465)-1)</f>
        <v/>
      </c>
    </row>
    <row r="466">
      <c r="AA466">
        <f>IFERROR(INDEX(DailyRouteRecordTable[Route],ROW()-1),"")</f>
        <v/>
      </c>
      <c r="AB466">
        <f>IF(AA466="","",IF(COUNTIF($AA$2:AA466,AA466)&gt;1,0,SUMPRODUCT((DailyRouteRecordTable[Route]=AA466)*(IF($B$6="All",1,IFERROR(--MID(DailyRouteRecordTable[Departure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6">
        <f>IF(AA466="","",IF(COUNTIF($AA$2:AA466,AA466)&gt;1,0,SUMPRODUCT((DailyRouteRecordTable[Route]=AA466)*(IF($B$6="All",1,IFERROR(--MID(DailyRouteRecordTable[Departure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6">
        <f>IF(AB466&lt;=0,"",RANK(AB466,$AB$2:$AB$501,0)+COUNTIFS($AB$2:AB466,AB466)-1)</f>
        <v/>
      </c>
      <c r="AE466">
        <f>IF(AC466&lt;=0,"",RANK(AC466,$AC$2:$AC$501,0)+COUNTIFS($AC$2:AC466,AC466)-1)</f>
        <v/>
      </c>
    </row>
    <row r="467">
      <c r="AA467">
        <f>IFERROR(INDEX(DailyRouteRecordTable[Route],ROW()-1),"")</f>
        <v/>
      </c>
      <c r="AB467">
        <f>IF(AA467="","",IF(COUNTIF($AA$2:AA467,AA467)&gt;1,0,SUMPRODUCT((DailyRouteRecordTable[Route]=AA467)*(IF($B$6="All",1,IFERROR(--MID(DailyRouteRecordTable[Departure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7">
        <f>IF(AA467="","",IF(COUNTIF($AA$2:AA467,AA467)&gt;1,0,SUMPRODUCT((DailyRouteRecordTable[Route]=AA467)*(IF($B$6="All",1,IFERROR(--MID(DailyRouteRecordTable[Departure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7">
        <f>IF(AB467&lt;=0,"",RANK(AB467,$AB$2:$AB$501,0)+COUNTIFS($AB$2:AB467,AB467)-1)</f>
        <v/>
      </c>
      <c r="AE467">
        <f>IF(AC467&lt;=0,"",RANK(AC467,$AC$2:$AC$501,0)+COUNTIFS($AC$2:AC467,AC467)-1)</f>
        <v/>
      </c>
    </row>
    <row r="468">
      <c r="AA468">
        <f>IFERROR(INDEX(DailyRouteRecordTable[Route],ROW()-1),"")</f>
        <v/>
      </c>
      <c r="AB468">
        <f>IF(AA468="","",IF(COUNTIF($AA$2:AA468,AA468)&gt;1,0,SUMPRODUCT((DailyRouteRecordTable[Route]=AA468)*(IF($B$6="All",1,IFERROR(--MID(DailyRouteRecordTable[Departure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8">
        <f>IF(AA468="","",IF(COUNTIF($AA$2:AA468,AA468)&gt;1,0,SUMPRODUCT((DailyRouteRecordTable[Route]=AA468)*(IF($B$6="All",1,IFERROR(--MID(DailyRouteRecordTable[Departure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8">
        <f>IF(AB468&lt;=0,"",RANK(AB468,$AB$2:$AB$501,0)+COUNTIFS($AB$2:AB468,AB468)-1)</f>
        <v/>
      </c>
      <c r="AE468">
        <f>IF(AC468&lt;=0,"",RANK(AC468,$AC$2:$AC$501,0)+COUNTIFS($AC$2:AC468,AC468)-1)</f>
        <v/>
      </c>
    </row>
    <row r="469">
      <c r="AA469">
        <f>IFERROR(INDEX(DailyRouteRecordTable[Route],ROW()-1),"")</f>
        <v/>
      </c>
      <c r="AB469">
        <f>IF(AA469="","",IF(COUNTIF($AA$2:AA469,AA469)&gt;1,0,SUMPRODUCT((DailyRouteRecordTable[Route]=AA469)*(IF($B$6="All",1,IFERROR(--MID(DailyRouteRecordTable[Departure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69">
        <f>IF(AA469="","",IF(COUNTIF($AA$2:AA469,AA469)&gt;1,0,SUMPRODUCT((DailyRouteRecordTable[Route]=AA469)*(IF($B$6="All",1,IFERROR(--MID(DailyRouteRecordTable[Departure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69">
        <f>IF(AB469&lt;=0,"",RANK(AB469,$AB$2:$AB$501,0)+COUNTIFS($AB$2:AB469,AB469)-1)</f>
        <v/>
      </c>
      <c r="AE469">
        <f>IF(AC469&lt;=0,"",RANK(AC469,$AC$2:$AC$501,0)+COUNTIFS($AC$2:AC469,AC469)-1)</f>
        <v/>
      </c>
    </row>
    <row r="470">
      <c r="AA470">
        <f>IFERROR(INDEX(DailyRouteRecordTable[Route],ROW()-1),"")</f>
        <v/>
      </c>
      <c r="AB470">
        <f>IF(AA470="","",IF(COUNTIF($AA$2:AA470,AA470)&gt;1,0,SUMPRODUCT((DailyRouteRecordTable[Route]=AA470)*(IF($B$6="All",1,IFERROR(--MID(DailyRouteRecordTable[Departure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0">
        <f>IF(AA470="","",IF(COUNTIF($AA$2:AA470,AA470)&gt;1,0,SUMPRODUCT((DailyRouteRecordTable[Route]=AA470)*(IF($B$6="All",1,IFERROR(--MID(DailyRouteRecordTable[Departure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0">
        <f>IF(AB470&lt;=0,"",RANK(AB470,$AB$2:$AB$501,0)+COUNTIFS($AB$2:AB470,AB470)-1)</f>
        <v/>
      </c>
      <c r="AE470">
        <f>IF(AC470&lt;=0,"",RANK(AC470,$AC$2:$AC$501,0)+COUNTIFS($AC$2:AC470,AC470)-1)</f>
        <v/>
      </c>
    </row>
    <row r="471">
      <c r="AA471">
        <f>IFERROR(INDEX(DailyRouteRecordTable[Route],ROW()-1),"")</f>
        <v/>
      </c>
      <c r="AB471">
        <f>IF(AA471="","",IF(COUNTIF($AA$2:AA471,AA471)&gt;1,0,SUMPRODUCT((DailyRouteRecordTable[Route]=AA471)*(IF($B$6="All",1,IFERROR(--MID(DailyRouteRecordTable[Departure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1">
        <f>IF(AA471="","",IF(COUNTIF($AA$2:AA471,AA471)&gt;1,0,SUMPRODUCT((DailyRouteRecordTable[Route]=AA471)*(IF($B$6="All",1,IFERROR(--MID(DailyRouteRecordTable[Departure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1">
        <f>IF(AB471&lt;=0,"",RANK(AB471,$AB$2:$AB$501,0)+COUNTIFS($AB$2:AB471,AB471)-1)</f>
        <v/>
      </c>
      <c r="AE471">
        <f>IF(AC471&lt;=0,"",RANK(AC471,$AC$2:$AC$501,0)+COUNTIFS($AC$2:AC471,AC471)-1)</f>
        <v/>
      </c>
    </row>
    <row r="472">
      <c r="AA472">
        <f>IFERROR(INDEX(DailyRouteRecordTable[Route],ROW()-1),"")</f>
        <v/>
      </c>
      <c r="AB472">
        <f>IF(AA472="","",IF(COUNTIF($AA$2:AA472,AA472)&gt;1,0,SUMPRODUCT((DailyRouteRecordTable[Route]=AA472)*(IF($B$6="All",1,IFERROR(--MID(DailyRouteRecordTable[Departure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2">
        <f>IF(AA472="","",IF(COUNTIF($AA$2:AA472,AA472)&gt;1,0,SUMPRODUCT((DailyRouteRecordTable[Route]=AA472)*(IF($B$6="All",1,IFERROR(--MID(DailyRouteRecordTable[Departure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2">
        <f>IF(AB472&lt;=0,"",RANK(AB472,$AB$2:$AB$501,0)+COUNTIFS($AB$2:AB472,AB472)-1)</f>
        <v/>
      </c>
      <c r="AE472">
        <f>IF(AC472&lt;=0,"",RANK(AC472,$AC$2:$AC$501,0)+COUNTIFS($AC$2:AC472,AC472)-1)</f>
        <v/>
      </c>
    </row>
    <row r="473">
      <c r="AA473">
        <f>IFERROR(INDEX(DailyRouteRecordTable[Route],ROW()-1),"")</f>
        <v/>
      </c>
      <c r="AB473">
        <f>IF(AA473="","",IF(COUNTIF($AA$2:AA473,AA473)&gt;1,0,SUMPRODUCT((DailyRouteRecordTable[Route]=AA473)*(IF($B$6="All",1,IFERROR(--MID(DailyRouteRecordTable[Departure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3">
        <f>IF(AA473="","",IF(COUNTIF($AA$2:AA473,AA473)&gt;1,0,SUMPRODUCT((DailyRouteRecordTable[Route]=AA473)*(IF($B$6="All",1,IFERROR(--MID(DailyRouteRecordTable[Departure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3">
        <f>IF(AB473&lt;=0,"",RANK(AB473,$AB$2:$AB$501,0)+COUNTIFS($AB$2:AB473,AB473)-1)</f>
        <v/>
      </c>
      <c r="AE473">
        <f>IF(AC473&lt;=0,"",RANK(AC473,$AC$2:$AC$501,0)+COUNTIFS($AC$2:AC473,AC473)-1)</f>
        <v/>
      </c>
    </row>
    <row r="474">
      <c r="AA474">
        <f>IFERROR(INDEX(DailyRouteRecordTable[Route],ROW()-1),"")</f>
        <v/>
      </c>
      <c r="AB474">
        <f>IF(AA474="","",IF(COUNTIF($AA$2:AA474,AA474)&gt;1,0,SUMPRODUCT((DailyRouteRecordTable[Route]=AA474)*(IF($B$6="All",1,IFERROR(--MID(DailyRouteRecordTable[Departure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4">
        <f>IF(AA474="","",IF(COUNTIF($AA$2:AA474,AA474)&gt;1,0,SUMPRODUCT((DailyRouteRecordTable[Route]=AA474)*(IF($B$6="All",1,IFERROR(--MID(DailyRouteRecordTable[Departure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4">
        <f>IF(AB474&lt;=0,"",RANK(AB474,$AB$2:$AB$501,0)+COUNTIFS($AB$2:AB474,AB474)-1)</f>
        <v/>
      </c>
      <c r="AE474">
        <f>IF(AC474&lt;=0,"",RANK(AC474,$AC$2:$AC$501,0)+COUNTIFS($AC$2:AC474,AC474)-1)</f>
        <v/>
      </c>
    </row>
    <row r="475">
      <c r="AA475">
        <f>IFERROR(INDEX(DailyRouteRecordTable[Route],ROW()-1),"")</f>
        <v/>
      </c>
      <c r="AB475">
        <f>IF(AA475="","",IF(COUNTIF($AA$2:AA475,AA475)&gt;1,0,SUMPRODUCT((DailyRouteRecordTable[Route]=AA475)*(IF($B$6="All",1,IFERROR(--MID(DailyRouteRecordTable[Departure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5">
        <f>IF(AA475="","",IF(COUNTIF($AA$2:AA475,AA475)&gt;1,0,SUMPRODUCT((DailyRouteRecordTable[Route]=AA475)*(IF($B$6="All",1,IFERROR(--MID(DailyRouteRecordTable[Departure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5">
        <f>IF(AB475&lt;=0,"",RANK(AB475,$AB$2:$AB$501,0)+COUNTIFS($AB$2:AB475,AB475)-1)</f>
        <v/>
      </c>
      <c r="AE475">
        <f>IF(AC475&lt;=0,"",RANK(AC475,$AC$2:$AC$501,0)+COUNTIFS($AC$2:AC475,AC475)-1)</f>
        <v/>
      </c>
    </row>
    <row r="476">
      <c r="AA476">
        <f>IFERROR(INDEX(DailyRouteRecordTable[Route],ROW()-1),"")</f>
        <v/>
      </c>
      <c r="AB476">
        <f>IF(AA476="","",IF(COUNTIF($AA$2:AA476,AA476)&gt;1,0,SUMPRODUCT((DailyRouteRecordTable[Route]=AA476)*(IF($B$6="All",1,IFERROR(--MID(DailyRouteRecordTable[Departure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6">
        <f>IF(AA476="","",IF(COUNTIF($AA$2:AA476,AA476)&gt;1,0,SUMPRODUCT((DailyRouteRecordTable[Route]=AA476)*(IF($B$6="All",1,IFERROR(--MID(DailyRouteRecordTable[Departure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6">
        <f>IF(AB476&lt;=0,"",RANK(AB476,$AB$2:$AB$501,0)+COUNTIFS($AB$2:AB476,AB476)-1)</f>
        <v/>
      </c>
      <c r="AE476">
        <f>IF(AC476&lt;=0,"",RANK(AC476,$AC$2:$AC$501,0)+COUNTIFS($AC$2:AC476,AC476)-1)</f>
        <v/>
      </c>
    </row>
    <row r="477">
      <c r="AA477">
        <f>IFERROR(INDEX(DailyRouteRecordTable[Route],ROW()-1),"")</f>
        <v/>
      </c>
      <c r="AB477">
        <f>IF(AA477="","",IF(COUNTIF($AA$2:AA477,AA477)&gt;1,0,SUMPRODUCT((DailyRouteRecordTable[Route]=AA477)*(IF($B$6="All",1,IFERROR(--MID(DailyRouteRecordTable[Departure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7">
        <f>IF(AA477="","",IF(COUNTIF($AA$2:AA477,AA477)&gt;1,0,SUMPRODUCT((DailyRouteRecordTable[Route]=AA477)*(IF($B$6="All",1,IFERROR(--MID(DailyRouteRecordTable[Departure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7">
        <f>IF(AB477&lt;=0,"",RANK(AB477,$AB$2:$AB$501,0)+COUNTIFS($AB$2:AB477,AB477)-1)</f>
        <v/>
      </c>
      <c r="AE477">
        <f>IF(AC477&lt;=0,"",RANK(AC477,$AC$2:$AC$501,0)+COUNTIFS($AC$2:AC477,AC477)-1)</f>
        <v/>
      </c>
    </row>
    <row r="478">
      <c r="AA478">
        <f>IFERROR(INDEX(DailyRouteRecordTable[Route],ROW()-1),"")</f>
        <v/>
      </c>
      <c r="AB478">
        <f>IF(AA478="","",IF(COUNTIF($AA$2:AA478,AA478)&gt;1,0,SUMPRODUCT((DailyRouteRecordTable[Route]=AA478)*(IF($B$6="All",1,IFERROR(--MID(DailyRouteRecordTable[Departure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8">
        <f>IF(AA478="","",IF(COUNTIF($AA$2:AA478,AA478)&gt;1,0,SUMPRODUCT((DailyRouteRecordTable[Route]=AA478)*(IF($B$6="All",1,IFERROR(--MID(DailyRouteRecordTable[Departure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8">
        <f>IF(AB478&lt;=0,"",RANK(AB478,$AB$2:$AB$501,0)+COUNTIFS($AB$2:AB478,AB478)-1)</f>
        <v/>
      </c>
      <c r="AE478">
        <f>IF(AC478&lt;=0,"",RANK(AC478,$AC$2:$AC$501,0)+COUNTIFS($AC$2:AC478,AC478)-1)</f>
        <v/>
      </c>
    </row>
    <row r="479">
      <c r="AA479">
        <f>IFERROR(INDEX(DailyRouteRecordTable[Route],ROW()-1),"")</f>
        <v/>
      </c>
      <c r="AB479">
        <f>IF(AA479="","",IF(COUNTIF($AA$2:AA479,AA479)&gt;1,0,SUMPRODUCT((DailyRouteRecordTable[Route]=AA479)*(IF($B$6="All",1,IFERROR(--MID(DailyRouteRecordTable[Departure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79">
        <f>IF(AA479="","",IF(COUNTIF($AA$2:AA479,AA479)&gt;1,0,SUMPRODUCT((DailyRouteRecordTable[Route]=AA479)*(IF($B$6="All",1,IFERROR(--MID(DailyRouteRecordTable[Departure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79">
        <f>IF(AB479&lt;=0,"",RANK(AB479,$AB$2:$AB$501,0)+COUNTIFS($AB$2:AB479,AB479)-1)</f>
        <v/>
      </c>
      <c r="AE479">
        <f>IF(AC479&lt;=0,"",RANK(AC479,$AC$2:$AC$501,0)+COUNTIFS($AC$2:AC479,AC479)-1)</f>
        <v/>
      </c>
    </row>
    <row r="480">
      <c r="AA480">
        <f>IFERROR(INDEX(DailyRouteRecordTable[Route],ROW()-1),"")</f>
        <v/>
      </c>
      <c r="AB480">
        <f>IF(AA480="","",IF(COUNTIF($AA$2:AA480,AA480)&gt;1,0,SUMPRODUCT((DailyRouteRecordTable[Route]=AA480)*(IF($B$6="All",1,IFERROR(--MID(DailyRouteRecordTable[Departure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0">
        <f>IF(AA480="","",IF(COUNTIF($AA$2:AA480,AA480)&gt;1,0,SUMPRODUCT((DailyRouteRecordTable[Route]=AA480)*(IF($B$6="All",1,IFERROR(--MID(DailyRouteRecordTable[Departure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0">
        <f>IF(AB480&lt;=0,"",RANK(AB480,$AB$2:$AB$501,0)+COUNTIFS($AB$2:AB480,AB480)-1)</f>
        <v/>
      </c>
      <c r="AE480">
        <f>IF(AC480&lt;=0,"",RANK(AC480,$AC$2:$AC$501,0)+COUNTIFS($AC$2:AC480,AC480)-1)</f>
        <v/>
      </c>
    </row>
    <row r="481">
      <c r="AA481">
        <f>IFERROR(INDEX(DailyRouteRecordTable[Route],ROW()-1),"")</f>
        <v/>
      </c>
      <c r="AB481">
        <f>IF(AA481="","",IF(COUNTIF($AA$2:AA481,AA481)&gt;1,0,SUMPRODUCT((DailyRouteRecordTable[Route]=AA481)*(IF($B$6="All",1,IFERROR(--MID(DailyRouteRecordTable[Departure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1">
        <f>IF(AA481="","",IF(COUNTIF($AA$2:AA481,AA481)&gt;1,0,SUMPRODUCT((DailyRouteRecordTable[Route]=AA481)*(IF($B$6="All",1,IFERROR(--MID(DailyRouteRecordTable[Departure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1">
        <f>IF(AB481&lt;=0,"",RANK(AB481,$AB$2:$AB$501,0)+COUNTIFS($AB$2:AB481,AB481)-1)</f>
        <v/>
      </c>
      <c r="AE481">
        <f>IF(AC481&lt;=0,"",RANK(AC481,$AC$2:$AC$501,0)+COUNTIFS($AC$2:AC481,AC481)-1)</f>
        <v/>
      </c>
    </row>
    <row r="482">
      <c r="AA482">
        <f>IFERROR(INDEX(DailyRouteRecordTable[Route],ROW()-1),"")</f>
        <v/>
      </c>
      <c r="AB482">
        <f>IF(AA482="","",IF(COUNTIF($AA$2:AA482,AA482)&gt;1,0,SUMPRODUCT((DailyRouteRecordTable[Route]=AA482)*(IF($B$6="All",1,IFERROR(--MID(DailyRouteRecordTable[Departure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2">
        <f>IF(AA482="","",IF(COUNTIF($AA$2:AA482,AA482)&gt;1,0,SUMPRODUCT((DailyRouteRecordTable[Route]=AA482)*(IF($B$6="All",1,IFERROR(--MID(DailyRouteRecordTable[Departure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2">
        <f>IF(AB482&lt;=0,"",RANK(AB482,$AB$2:$AB$501,0)+COUNTIFS($AB$2:AB482,AB482)-1)</f>
        <v/>
      </c>
      <c r="AE482">
        <f>IF(AC482&lt;=0,"",RANK(AC482,$AC$2:$AC$501,0)+COUNTIFS($AC$2:AC482,AC482)-1)</f>
        <v/>
      </c>
    </row>
    <row r="483">
      <c r="AA483">
        <f>IFERROR(INDEX(DailyRouteRecordTable[Route],ROW()-1),"")</f>
        <v/>
      </c>
      <c r="AB483">
        <f>IF(AA483="","",IF(COUNTIF($AA$2:AA483,AA483)&gt;1,0,SUMPRODUCT((DailyRouteRecordTable[Route]=AA483)*(IF($B$6="All",1,IFERROR(--MID(DailyRouteRecordTable[Departure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3">
        <f>IF(AA483="","",IF(COUNTIF($AA$2:AA483,AA483)&gt;1,0,SUMPRODUCT((DailyRouteRecordTable[Route]=AA483)*(IF($B$6="All",1,IFERROR(--MID(DailyRouteRecordTable[Departure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3">
        <f>IF(AB483&lt;=0,"",RANK(AB483,$AB$2:$AB$501,0)+COUNTIFS($AB$2:AB483,AB483)-1)</f>
        <v/>
      </c>
      <c r="AE483">
        <f>IF(AC483&lt;=0,"",RANK(AC483,$AC$2:$AC$501,0)+COUNTIFS($AC$2:AC483,AC483)-1)</f>
        <v/>
      </c>
    </row>
    <row r="484">
      <c r="AA484">
        <f>IFERROR(INDEX(DailyRouteRecordTable[Route],ROW()-1),"")</f>
        <v/>
      </c>
      <c r="AB484">
        <f>IF(AA484="","",IF(COUNTIF($AA$2:AA484,AA484)&gt;1,0,SUMPRODUCT((DailyRouteRecordTable[Route]=AA484)*(IF($B$6="All",1,IFERROR(--MID(DailyRouteRecordTable[Departure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4">
        <f>IF(AA484="","",IF(COUNTIF($AA$2:AA484,AA484)&gt;1,0,SUMPRODUCT((DailyRouteRecordTable[Route]=AA484)*(IF($B$6="All",1,IFERROR(--MID(DailyRouteRecordTable[Departure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4">
        <f>IF(AB484&lt;=0,"",RANK(AB484,$AB$2:$AB$501,0)+COUNTIFS($AB$2:AB484,AB484)-1)</f>
        <v/>
      </c>
      <c r="AE484">
        <f>IF(AC484&lt;=0,"",RANK(AC484,$AC$2:$AC$501,0)+COUNTIFS($AC$2:AC484,AC484)-1)</f>
        <v/>
      </c>
    </row>
    <row r="485">
      <c r="AA485">
        <f>IFERROR(INDEX(DailyRouteRecordTable[Route],ROW()-1),"")</f>
        <v/>
      </c>
      <c r="AB485">
        <f>IF(AA485="","",IF(COUNTIF($AA$2:AA485,AA485)&gt;1,0,SUMPRODUCT((DailyRouteRecordTable[Route]=AA485)*(IF($B$6="All",1,IFERROR(--MID(DailyRouteRecordTable[Departure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5">
        <f>IF(AA485="","",IF(COUNTIF($AA$2:AA485,AA485)&gt;1,0,SUMPRODUCT((DailyRouteRecordTable[Route]=AA485)*(IF($B$6="All",1,IFERROR(--MID(DailyRouteRecordTable[Departure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5">
        <f>IF(AB485&lt;=0,"",RANK(AB485,$AB$2:$AB$501,0)+COUNTIFS($AB$2:AB485,AB485)-1)</f>
        <v/>
      </c>
      <c r="AE485">
        <f>IF(AC485&lt;=0,"",RANK(AC485,$AC$2:$AC$501,0)+COUNTIFS($AC$2:AC485,AC485)-1)</f>
        <v/>
      </c>
    </row>
    <row r="486">
      <c r="AA486">
        <f>IFERROR(INDEX(DailyRouteRecordTable[Route],ROW()-1),"")</f>
        <v/>
      </c>
      <c r="AB486">
        <f>IF(AA486="","",IF(COUNTIF($AA$2:AA486,AA486)&gt;1,0,SUMPRODUCT((DailyRouteRecordTable[Route]=AA486)*(IF($B$6="All",1,IFERROR(--MID(DailyRouteRecordTable[Departure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6">
        <f>IF(AA486="","",IF(COUNTIF($AA$2:AA486,AA486)&gt;1,0,SUMPRODUCT((DailyRouteRecordTable[Route]=AA486)*(IF($B$6="All",1,IFERROR(--MID(DailyRouteRecordTable[Departure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6">
        <f>IF(AB486&lt;=0,"",RANK(AB486,$AB$2:$AB$501,0)+COUNTIFS($AB$2:AB486,AB486)-1)</f>
        <v/>
      </c>
      <c r="AE486">
        <f>IF(AC486&lt;=0,"",RANK(AC486,$AC$2:$AC$501,0)+COUNTIFS($AC$2:AC486,AC486)-1)</f>
        <v/>
      </c>
    </row>
    <row r="487">
      <c r="AA487">
        <f>IFERROR(INDEX(DailyRouteRecordTable[Route],ROW()-1),"")</f>
        <v/>
      </c>
      <c r="AB487">
        <f>IF(AA487="","",IF(COUNTIF($AA$2:AA487,AA487)&gt;1,0,SUMPRODUCT((DailyRouteRecordTable[Route]=AA487)*(IF($B$6="All",1,IFERROR(--MID(DailyRouteRecordTable[Departure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7">
        <f>IF(AA487="","",IF(COUNTIF($AA$2:AA487,AA487)&gt;1,0,SUMPRODUCT((DailyRouteRecordTable[Route]=AA487)*(IF($B$6="All",1,IFERROR(--MID(DailyRouteRecordTable[Departure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7">
        <f>IF(AB487&lt;=0,"",RANK(AB487,$AB$2:$AB$501,0)+COUNTIFS($AB$2:AB487,AB487)-1)</f>
        <v/>
      </c>
      <c r="AE487">
        <f>IF(AC487&lt;=0,"",RANK(AC487,$AC$2:$AC$501,0)+COUNTIFS($AC$2:AC487,AC487)-1)</f>
        <v/>
      </c>
    </row>
    <row r="488">
      <c r="AA488">
        <f>IFERROR(INDEX(DailyRouteRecordTable[Route],ROW()-1),"")</f>
        <v/>
      </c>
      <c r="AB488">
        <f>IF(AA488="","",IF(COUNTIF($AA$2:AA488,AA488)&gt;1,0,SUMPRODUCT((DailyRouteRecordTable[Route]=AA488)*(IF($B$6="All",1,IFERROR(--MID(DailyRouteRecordTable[Departure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8">
        <f>IF(AA488="","",IF(COUNTIF($AA$2:AA488,AA488)&gt;1,0,SUMPRODUCT((DailyRouteRecordTable[Route]=AA488)*(IF($B$6="All",1,IFERROR(--MID(DailyRouteRecordTable[Departure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8">
        <f>IF(AB488&lt;=0,"",RANK(AB488,$AB$2:$AB$501,0)+COUNTIFS($AB$2:AB488,AB488)-1)</f>
        <v/>
      </c>
      <c r="AE488">
        <f>IF(AC488&lt;=0,"",RANK(AC488,$AC$2:$AC$501,0)+COUNTIFS($AC$2:AC488,AC488)-1)</f>
        <v/>
      </c>
    </row>
    <row r="489">
      <c r="AA489">
        <f>IFERROR(INDEX(DailyRouteRecordTable[Route],ROW()-1),"")</f>
        <v/>
      </c>
      <c r="AB489">
        <f>IF(AA489="","",IF(COUNTIF($AA$2:AA489,AA489)&gt;1,0,SUMPRODUCT((DailyRouteRecordTable[Route]=AA489)*(IF($B$6="All",1,IFERROR(--MID(DailyRouteRecordTable[Departure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89">
        <f>IF(AA489="","",IF(COUNTIF($AA$2:AA489,AA489)&gt;1,0,SUMPRODUCT((DailyRouteRecordTable[Route]=AA489)*(IF($B$6="All",1,IFERROR(--MID(DailyRouteRecordTable[Departure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89">
        <f>IF(AB489&lt;=0,"",RANK(AB489,$AB$2:$AB$501,0)+COUNTIFS($AB$2:AB489,AB489)-1)</f>
        <v/>
      </c>
      <c r="AE489">
        <f>IF(AC489&lt;=0,"",RANK(AC489,$AC$2:$AC$501,0)+COUNTIFS($AC$2:AC489,AC489)-1)</f>
        <v/>
      </c>
    </row>
    <row r="490">
      <c r="AA490">
        <f>IFERROR(INDEX(DailyRouteRecordTable[Route],ROW()-1),"")</f>
        <v/>
      </c>
      <c r="AB490">
        <f>IF(AA490="","",IF(COUNTIF($AA$2:AA490,AA490)&gt;1,0,SUMPRODUCT((DailyRouteRecordTable[Route]=AA490)*(IF($B$6="All",1,IFERROR(--MID(DailyRouteRecordTable[Departure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0">
        <f>IF(AA490="","",IF(COUNTIF($AA$2:AA490,AA490)&gt;1,0,SUMPRODUCT((DailyRouteRecordTable[Route]=AA490)*(IF($B$6="All",1,IFERROR(--MID(DailyRouteRecordTable[Departure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0">
        <f>IF(AB490&lt;=0,"",RANK(AB490,$AB$2:$AB$501,0)+COUNTIFS($AB$2:AB490,AB490)-1)</f>
        <v/>
      </c>
      <c r="AE490">
        <f>IF(AC490&lt;=0,"",RANK(AC490,$AC$2:$AC$501,0)+COUNTIFS($AC$2:AC490,AC490)-1)</f>
        <v/>
      </c>
    </row>
    <row r="491">
      <c r="AA491">
        <f>IFERROR(INDEX(DailyRouteRecordTable[Route],ROW()-1),"")</f>
        <v/>
      </c>
      <c r="AB491">
        <f>IF(AA491="","",IF(COUNTIF($AA$2:AA491,AA491)&gt;1,0,SUMPRODUCT((DailyRouteRecordTable[Route]=AA491)*(IF($B$6="All",1,IFERROR(--MID(DailyRouteRecordTable[Departure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1">
        <f>IF(AA491="","",IF(COUNTIF($AA$2:AA491,AA491)&gt;1,0,SUMPRODUCT((DailyRouteRecordTable[Route]=AA491)*(IF($B$6="All",1,IFERROR(--MID(DailyRouteRecordTable[Departure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1">
        <f>IF(AB491&lt;=0,"",RANK(AB491,$AB$2:$AB$501,0)+COUNTIFS($AB$2:AB491,AB491)-1)</f>
        <v/>
      </c>
      <c r="AE491">
        <f>IF(AC491&lt;=0,"",RANK(AC491,$AC$2:$AC$501,0)+COUNTIFS($AC$2:AC491,AC491)-1)</f>
        <v/>
      </c>
    </row>
    <row r="492">
      <c r="AA492">
        <f>IFERROR(INDEX(DailyRouteRecordTable[Route],ROW()-1),"")</f>
        <v/>
      </c>
      <c r="AB492">
        <f>IF(AA492="","",IF(COUNTIF($AA$2:AA492,AA492)&gt;1,0,SUMPRODUCT((DailyRouteRecordTable[Route]=AA492)*(IF($B$6="All",1,IFERROR(--MID(DailyRouteRecordTable[Departure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2">
        <f>IF(AA492="","",IF(COUNTIF($AA$2:AA492,AA492)&gt;1,0,SUMPRODUCT((DailyRouteRecordTable[Route]=AA492)*(IF($B$6="All",1,IFERROR(--MID(DailyRouteRecordTable[Departure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2">
        <f>IF(AB492&lt;=0,"",RANK(AB492,$AB$2:$AB$501,0)+COUNTIFS($AB$2:AB492,AB492)-1)</f>
        <v/>
      </c>
      <c r="AE492">
        <f>IF(AC492&lt;=0,"",RANK(AC492,$AC$2:$AC$501,0)+COUNTIFS($AC$2:AC492,AC492)-1)</f>
        <v/>
      </c>
    </row>
    <row r="493">
      <c r="AA493">
        <f>IFERROR(INDEX(DailyRouteRecordTable[Route],ROW()-1),"")</f>
        <v/>
      </c>
      <c r="AB493">
        <f>IF(AA493="","",IF(COUNTIF($AA$2:AA493,AA493)&gt;1,0,SUMPRODUCT((DailyRouteRecordTable[Route]=AA493)*(IF($B$6="All",1,IFERROR(--MID(DailyRouteRecordTable[Departure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3">
        <f>IF(AA493="","",IF(COUNTIF($AA$2:AA493,AA493)&gt;1,0,SUMPRODUCT((DailyRouteRecordTable[Route]=AA493)*(IF($B$6="All",1,IFERROR(--MID(DailyRouteRecordTable[Departure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3">
        <f>IF(AB493&lt;=0,"",RANK(AB493,$AB$2:$AB$501,0)+COUNTIFS($AB$2:AB493,AB493)-1)</f>
        <v/>
      </c>
      <c r="AE493">
        <f>IF(AC493&lt;=0,"",RANK(AC493,$AC$2:$AC$501,0)+COUNTIFS($AC$2:AC493,AC493)-1)</f>
        <v/>
      </c>
    </row>
    <row r="494">
      <c r="AA494">
        <f>IFERROR(INDEX(DailyRouteRecordTable[Route],ROW()-1),"")</f>
        <v/>
      </c>
      <c r="AB494">
        <f>IF(AA494="","",IF(COUNTIF($AA$2:AA494,AA494)&gt;1,0,SUMPRODUCT((DailyRouteRecordTable[Route]=AA494)*(IF($B$6="All",1,IFERROR(--MID(DailyRouteRecordTable[Departure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4">
        <f>IF(AA494="","",IF(COUNTIF($AA$2:AA494,AA494)&gt;1,0,SUMPRODUCT((DailyRouteRecordTable[Route]=AA494)*(IF($B$6="All",1,IFERROR(--MID(DailyRouteRecordTable[Departure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4">
        <f>IF(AB494&lt;=0,"",RANK(AB494,$AB$2:$AB$501,0)+COUNTIFS($AB$2:AB494,AB494)-1)</f>
        <v/>
      </c>
      <c r="AE494">
        <f>IF(AC494&lt;=0,"",RANK(AC494,$AC$2:$AC$501,0)+COUNTIFS($AC$2:AC494,AC494)-1)</f>
        <v/>
      </c>
    </row>
    <row r="495">
      <c r="AA495">
        <f>IFERROR(INDEX(DailyRouteRecordTable[Route],ROW()-1),"")</f>
        <v/>
      </c>
      <c r="AB495">
        <f>IF(AA495="","",IF(COUNTIF($AA$2:AA495,AA495)&gt;1,0,SUMPRODUCT((DailyRouteRecordTable[Route]=AA495)*(IF($B$6="All",1,IFERROR(--MID(DailyRouteRecordTable[Departure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5">
        <f>IF(AA495="","",IF(COUNTIF($AA$2:AA495,AA495)&gt;1,0,SUMPRODUCT((DailyRouteRecordTable[Route]=AA495)*(IF($B$6="All",1,IFERROR(--MID(DailyRouteRecordTable[Departure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5">
        <f>IF(AB495&lt;=0,"",RANK(AB495,$AB$2:$AB$501,0)+COUNTIFS($AB$2:AB495,AB495)-1)</f>
        <v/>
      </c>
      <c r="AE495">
        <f>IF(AC495&lt;=0,"",RANK(AC495,$AC$2:$AC$501,0)+COUNTIFS($AC$2:AC495,AC495)-1)</f>
        <v/>
      </c>
    </row>
    <row r="496">
      <c r="AA496">
        <f>IFERROR(INDEX(DailyRouteRecordTable[Route],ROW()-1),"")</f>
        <v/>
      </c>
      <c r="AB496">
        <f>IF(AA496="","",IF(COUNTIF($AA$2:AA496,AA496)&gt;1,0,SUMPRODUCT((DailyRouteRecordTable[Route]=AA496)*(IF($B$6="All",1,IFERROR(--MID(DailyRouteRecordTable[Departure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6">
        <f>IF(AA496="","",IF(COUNTIF($AA$2:AA496,AA496)&gt;1,0,SUMPRODUCT((DailyRouteRecordTable[Route]=AA496)*(IF($B$6="All",1,IFERROR(--MID(DailyRouteRecordTable[Departure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6">
        <f>IF(AB496&lt;=0,"",RANK(AB496,$AB$2:$AB$501,0)+COUNTIFS($AB$2:AB496,AB496)-1)</f>
        <v/>
      </c>
      <c r="AE496">
        <f>IF(AC496&lt;=0,"",RANK(AC496,$AC$2:$AC$501,0)+COUNTIFS($AC$2:AC496,AC496)-1)</f>
        <v/>
      </c>
    </row>
    <row r="497">
      <c r="AA497">
        <f>IFERROR(INDEX(DailyRouteRecordTable[Route],ROW()-1),"")</f>
        <v/>
      </c>
      <c r="AB497">
        <f>IF(AA497="","",IF(COUNTIF($AA$2:AA497,AA497)&gt;1,0,SUMPRODUCT((DailyRouteRecordTable[Route]=AA497)*(IF($B$6="All",1,IFERROR(--MID(DailyRouteRecordTable[Departure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7">
        <f>IF(AA497="","",IF(COUNTIF($AA$2:AA497,AA497)&gt;1,0,SUMPRODUCT((DailyRouteRecordTable[Route]=AA497)*(IF($B$6="All",1,IFERROR(--MID(DailyRouteRecordTable[Departure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7">
        <f>IF(AB497&lt;=0,"",RANK(AB497,$AB$2:$AB$501,0)+COUNTIFS($AB$2:AB497,AB497)-1)</f>
        <v/>
      </c>
      <c r="AE497">
        <f>IF(AC497&lt;=0,"",RANK(AC497,$AC$2:$AC$501,0)+COUNTIFS($AC$2:AC497,AC497)-1)</f>
        <v/>
      </c>
    </row>
    <row r="498">
      <c r="AA498">
        <f>IFERROR(INDEX(DailyRouteRecordTable[Route],ROW()-1),"")</f>
        <v/>
      </c>
      <c r="AB498">
        <f>IF(AA498="","",IF(COUNTIF($AA$2:AA498,AA498)&gt;1,0,SUMPRODUCT((DailyRouteRecordTable[Route]=AA498)*(IF($B$6="All",1,IFERROR(--MID(DailyRouteRecordTable[Departure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8">
        <f>IF(AA498="","",IF(COUNTIF($AA$2:AA498,AA498)&gt;1,0,SUMPRODUCT((DailyRouteRecordTable[Route]=AA498)*(IF($B$6="All",1,IFERROR(--MID(DailyRouteRecordTable[Departure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8">
        <f>IF(AB498&lt;=0,"",RANK(AB498,$AB$2:$AB$501,0)+COUNTIFS($AB$2:AB498,AB498)-1)</f>
        <v/>
      </c>
      <c r="AE498">
        <f>IF(AC498&lt;=0,"",RANK(AC498,$AC$2:$AC$501,0)+COUNTIFS($AC$2:AC498,AC498)-1)</f>
        <v/>
      </c>
    </row>
    <row r="499">
      <c r="AA499">
        <f>IFERROR(INDEX(DailyRouteRecordTable[Route],ROW()-1),"")</f>
        <v/>
      </c>
      <c r="AB499">
        <f>IF(AA499="","",IF(COUNTIF($AA$2:AA499,AA499)&gt;1,0,SUMPRODUCT((DailyRouteRecordTable[Route]=AA499)*(IF($B$6="All",1,IFERROR(--MID(DailyRouteRecordTable[Departure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499">
        <f>IF(AA499="","",IF(COUNTIF($AA$2:AA499,AA499)&gt;1,0,SUMPRODUCT((DailyRouteRecordTable[Route]=AA499)*(IF($B$6="All",1,IFERROR(--MID(DailyRouteRecordTable[Departure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499">
        <f>IF(AB499&lt;=0,"",RANK(AB499,$AB$2:$AB$501,0)+COUNTIFS($AB$2:AB499,AB499)-1)</f>
        <v/>
      </c>
      <c r="AE499">
        <f>IF(AC499&lt;=0,"",RANK(AC499,$AC$2:$AC$501,0)+COUNTIFS($AC$2:AC499,AC499)-1)</f>
        <v/>
      </c>
    </row>
    <row r="500">
      <c r="AA500">
        <f>IFERROR(INDEX(DailyRouteRecordTable[Route],ROW()-1),"")</f>
        <v/>
      </c>
      <c r="AB500">
        <f>IF(AA500="","",IF(COUNTIF($AA$2:AA500,AA500)&gt;1,0,SUMPRODUCT((DailyRouteRecordTable[Route]=AA500)*(IF($B$6="All",1,IFERROR(--MID(DailyRouteRecordTable[Departure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0">
        <f>IF(AA500="","",IF(COUNTIF($AA$2:AA500,AA500)&gt;1,0,SUMPRODUCT((DailyRouteRecordTable[Route]=AA500)*(IF($B$6="All",1,IFERROR(--MID(DailyRouteRecordTable[Departure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0">
        <f>IF(AB500&lt;=0,"",RANK(AB500,$AB$2:$AB$501,0)+COUNTIFS($AB$2:AB500,AB500)-1)</f>
        <v/>
      </c>
      <c r="AE500">
        <f>IF(AC500&lt;=0,"",RANK(AC500,$AC$2:$AC$501,0)+COUNTIFS($AC$2:AC500,AC500)-1)</f>
        <v/>
      </c>
    </row>
    <row r="501">
      <c r="AA501">
        <f>IFERROR(INDEX(DailyRouteRecordTable[Route],ROW()-1),"")</f>
        <v/>
      </c>
      <c r="AB501">
        <f>IF(AA501="","",IF(COUNTIF($AA$2:AA501,AA501)&gt;1,0,SUMPRODUCT((DailyRouteRecordTable[Route]=AA501)*(IF($B$6="All",1,IFERROR(--MID(DailyRouteRecordTable[Departure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AC501">
        <f>IF(AA501="","",IF(COUNTIF($AA$2:AA501,AA501)&gt;1,0,SUMPRODUCT((DailyRouteRecordTable[Route]=AA501)*(IF($B$6="All",1,IFERROR(--MID(DailyRouteRecordTable[Departure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AD501">
        <f>IF(AB501&lt;=0,"",RANK(AB501,$AB$2:$AB$501,0)+COUNTIFS($AB$2:AB501,AB501)-1)</f>
        <v/>
      </c>
      <c r="AE501">
        <f>IF(AC501&lt;=0,"",RANK(AC501,$AC$2:$AC$501,0)+COUNTIFS($AC$2:AC501,AC501)-1)</f>
        <v/>
      </c>
    </row>
  </sheetData>
  <mergeCells count="13">
    <mergeCell ref="A4:B4"/>
    <mergeCell ref="G4:H4"/>
    <mergeCell ref="E4:F4"/>
    <mergeCell ref="I4:J4"/>
    <mergeCell ref="I3:J3"/>
    <mergeCell ref="A1:L1"/>
    <mergeCell ref="K4:L4"/>
    <mergeCell ref="C3:D3"/>
    <mergeCell ref="A3:B3"/>
    <mergeCell ref="G3:H3"/>
    <mergeCell ref="E3:F3"/>
    <mergeCell ref="K3:L3"/>
    <mergeCell ref="C4:D4"/>
  </mergeCells>
  <conditionalFormatting sqref="A1:L2">
    <cfRule type="expression" priority="1" dxfId="2">
      <formula>$B$2="Dark"</formula>
    </cfRule>
  </conditionalFormatting>
  <conditionalFormatting sqref="A5:L45">
    <cfRule type="expression" priority="2" dxfId="2">
      <formula>$B$2="Dark"</formula>
    </cfRule>
  </conditionalFormatting>
  <dataValidations count="2">
    <dataValidation sqref="B2" showDropDown="0" showInputMessage="0" showErrorMessage="0" allowBlank="0" type="list">
      <formula1>"Light,Dark"</formula1>
    </dataValidation>
    <dataValidation sqref="B6" showDropDown="0" showInputMessage="0" showErrorMessage="0" allowBlank="0" type="list">
      <formula1>"All,January,February,March,April,May,June,July,August,September,October,November,December"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2026-02-11T21:47:47Z</dcterms:created>
  <dcterms:modified xsi:type="dcterms:W3CDTF">2026-02-11T21:47:47Z</dcterms:modified>
</cp:coreProperties>
</file>