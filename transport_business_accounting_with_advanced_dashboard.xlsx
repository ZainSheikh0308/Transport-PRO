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oute Record" sheetId="1" state="visible" r:id="rId1"/>
    <sheet name="Monthly Summary" sheetId="2" state="visible" r:id="rId2"/>
    <sheet name="Yearly 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</font>
    <font>
      <i val="1"/>
      <color rgb="007F7F7F"/>
    </font>
    <font>
      <b val="1"/>
    </font>
    <font>
      <b val="1"/>
      <color rgb="001F4E78"/>
      <sz val="16"/>
    </font>
    <font>
      <i val="1"/>
      <color rgb="00666666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8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center" vertical="center"/>
    </xf>
    <xf numFmtId="4" fontId="6" fillId="9" borderId="1" applyAlignment="1" pivotButton="0" quotePrefix="0" xfId="0">
      <alignment horizontal="center" vertical="center"/>
    </xf>
    <xf numFmtId="4" fontId="6" fillId="10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color rgb="00FFFFFF"/>
      </font>
      <fill>
        <patternFill patternType="solid">
          <fgColor rgb="001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Summary'!$C$2:$C$13</f>
            </numRef>
          </cat>
          <val>
            <numRef>
              <f>'Monthly Summary'!$E$2:$E$13</f>
            </numRef>
          </val>
        </ser>
        <ser>
          <idx val="1"/>
          <order val="1"/>
          <tx>
            <strRef>
              <f>'Monthly Summary'!F1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Summary'!$C$2:$C$13</f>
            </numRef>
          </cat>
          <val>
            <numRef>
              <f>'Monthly Summary'!$F$2:$F$13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Profit vs Loss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Summary'!H1</f>
            </strRef>
          </tx>
          <spPr>
            <a:ln>
              <a:prstDash val="solid"/>
            </a:ln>
          </spPr>
          <cat>
            <numRef>
              <f>'Monthly Summary'!$C$2:$C$13</f>
            </numRef>
          </cat>
          <val>
            <numRef>
              <f>'Monthly Summary'!$H$2:$H$13</f>
            </numRef>
          </val>
        </ser>
        <ser>
          <idx val="1"/>
          <order val="1"/>
          <tx>
            <strRef>
              <f>'Monthly Summary'!I1</f>
            </strRef>
          </tx>
          <spPr>
            <a:ln>
              <a:prstDash val="solid"/>
            </a:ln>
          </spPr>
          <cat>
            <numRef>
              <f>'Monthly Summary'!$C$2:$C$13</f>
            </numRef>
          </cat>
          <val>
            <numRef>
              <f>'Monthly Summary'!$I$2:$I$13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Yearly Profit vs Loss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 Summary'!F1</f>
            </strRef>
          </tx>
          <spPr>
            <a:ln>
              <a:prstDash val="solid"/>
            </a:ln>
          </spPr>
          <cat>
            <numRef>
              <f>'Yearly Summary'!$A$2:$A$11</f>
            </numRef>
          </cat>
          <val>
            <numRef>
              <f>'Yearly Summary'!$F$2:$F$11</f>
            </numRef>
          </val>
        </ser>
        <ser>
          <idx val="1"/>
          <order val="1"/>
          <tx>
            <strRef>
              <f>'Yearly Summary'!G1</f>
            </strRef>
          </tx>
          <spPr>
            <a:ln>
              <a:prstDash val="solid"/>
            </a:ln>
          </spPr>
          <cat>
            <numRef>
              <f>'Yearly Summary'!$A$2:$A$11</f>
            </numRef>
          </cat>
          <val>
            <numRef>
              <f>'Yearly Summary'!$G$2:$G$11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Yearly Income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'Yearly Summary'!C1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Summary'!$A$2:$A$11</f>
            </numRef>
          </cat>
          <val>
            <numRef>
              <f>'Yearly Summary'!$C$2:$C$11</f>
            </numRef>
          </val>
        </ser>
        <ser>
          <idx val="1"/>
          <order val="1"/>
          <tx>
            <strRef>
              <f>'Yearly Summary'!D1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Summary'!$A$2:$A$11</f>
            </numRef>
          </cat>
          <val>
            <numRef>
              <f>'Yearly Summary'!$D$2:$D$11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5 Profitable Routes (Selected Month)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'Dashboard'!S1</f>
            </strRef>
          </tx>
          <spPr>
            <a:ln>
              <a:prstDash val="solid"/>
            </a:ln>
          </spPr>
          <cat>
            <numRef>
              <f>'Dashboard'!$R$2:$R$6</f>
            </numRef>
          </cat>
          <val>
            <numRef>
              <f>'Dashboard'!$S$2:$S$6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Top 5 Non-Profitable Routes (Selected Month)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'Dashboard'!U1</f>
            </strRef>
          </tx>
          <spPr>
            <a:ln>
              <a:prstDash val="solid"/>
            </a:ln>
          </spPr>
          <cat>
            <numRef>
              <f>'Dashboard'!$T$2:$T$6</f>
            </numRef>
          </cat>
          <val>
            <numRef>
              <f>'Dashboard'!$U$2:$U$6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Route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6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21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36</row>
      <rowOff>0</rowOff>
    </from>
    <ext cx="432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36</row>
      <rowOff>0</rowOff>
    </from>
    <ext cx="432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RouteRecordTable" displayName="DailyRouteRecordTable" ref="A1:V2" headerRowCount="1">
  <autoFilter ref="A1:V2"/>
  <tableColumns count="22">
    <tableColumn id="1" name="Departure Date"/>
    <tableColumn id="2" name="Return Date"/>
    <tableColumn id="3" name="Trip Days"/>
    <tableColumn id="4" name="Route"/>
    <tableColumn id="5" name="Diesel Expense"/>
    <tableColumn id="6" name="Oil Expense"/>
    <tableColumn id="7" name="Ration / Food Expense"/>
    <tableColumn id="8" name="Mobile Expense"/>
    <tableColumn id="9" name="Misc Expense"/>
    <tableColumn id="10" name="Driver Salary"/>
    <tableColumn id="11" name="Garage Expense"/>
    <tableColumn id="12" name="Service Expense"/>
    <tableColumn id="13" name="Total Expenses"/>
    <tableColumn id="14" name="Income 1"/>
    <tableColumn id="15" name="Income 2"/>
    <tableColumn id="16" name="Income 3"/>
    <tableColumn id="17" name="Income 4"/>
    <tableColumn id="18" name="Total Income"/>
    <tableColumn id="19" name="Additional Expense Detail"/>
    <tableColumn id="20" name="Additional Expense Amount"/>
    <tableColumn id="21" name="Profit"/>
    <tableColumn id="22" name="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0" customWidth="1" min="4" max="4"/>
    <col width="14" customWidth="1" min="5" max="5"/>
    <col width="12" customWidth="1" min="6" max="6"/>
    <col width="20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30" customWidth="1" min="19" max="19"/>
    <col width="18" customWidth="1" min="20" max="20"/>
    <col width="14" customWidth="1" min="21" max="21"/>
    <col width="14" customWidth="1" min="22" max="22"/>
  </cols>
  <sheetData>
    <row r="1" ht="28" customHeight="1">
      <c r="A1" s="1" t="inlineStr">
        <is>
          <t>Departure Date</t>
        </is>
      </c>
      <c r="B1" s="1" t="inlineStr">
        <is>
          <t>Return Date</t>
        </is>
      </c>
      <c r="C1" s="1" t="inlineStr">
        <is>
          <t>Trip Days</t>
        </is>
      </c>
      <c r="D1" s="2" t="inlineStr">
        <is>
          <t>Route</t>
        </is>
      </c>
      <c r="E1" s="3" t="inlineStr">
        <is>
          <t>Diesel Expense</t>
        </is>
      </c>
      <c r="F1" s="3" t="inlineStr">
        <is>
          <t>Oil Expense</t>
        </is>
      </c>
      <c r="G1" s="3" t="inlineStr">
        <is>
          <t>Ration / Food Expense</t>
        </is>
      </c>
      <c r="H1" s="3" t="inlineStr">
        <is>
          <t>Mobile Expense</t>
        </is>
      </c>
      <c r="I1" s="3" t="inlineStr">
        <is>
          <t>Misc Expense</t>
        </is>
      </c>
      <c r="J1" s="3" t="inlineStr">
        <is>
          <t>Driver Salary</t>
        </is>
      </c>
      <c r="K1" s="3" t="inlineStr">
        <is>
          <t>Garage Expense</t>
        </is>
      </c>
      <c r="L1" s="3" t="inlineStr">
        <is>
          <t>Service Expense</t>
        </is>
      </c>
      <c r="M1" s="4" t="inlineStr">
        <is>
          <t>Total Expenses</t>
        </is>
      </c>
      <c r="N1" s="5" t="inlineStr">
        <is>
          <t>Income 1</t>
        </is>
      </c>
      <c r="O1" s="5" t="inlineStr">
        <is>
          <t>Income 2</t>
        </is>
      </c>
      <c r="P1" s="5" t="inlineStr">
        <is>
          <t>Income 3</t>
        </is>
      </c>
      <c r="Q1" s="5" t="inlineStr">
        <is>
          <t>Income 4</t>
        </is>
      </c>
      <c r="R1" s="4" t="inlineStr">
        <is>
          <t>Total Income</t>
        </is>
      </c>
      <c r="S1" s="6" t="inlineStr">
        <is>
          <t>Additional Expense Detail</t>
        </is>
      </c>
      <c r="T1" s="6" t="inlineStr">
        <is>
          <t>Additional Expense Amount</t>
        </is>
      </c>
      <c r="U1" s="5" t="inlineStr">
        <is>
          <t>Profit</t>
        </is>
      </c>
      <c r="V1" s="3" t="inlineStr">
        <is>
          <t>Loss</t>
        </is>
      </c>
    </row>
    <row r="2" ht="22" customHeight="1">
      <c r="A2" s="7" t="n"/>
      <c r="B2" s="7" t="n"/>
      <c r="C2" s="8">
        <f>IF(AND(A2&lt;&gt;"",B2&lt;&gt;""),IFERROR((IF(ISNUMBER(B2),B2,DATE(VALUE(RIGHT(B2,LEN(B2)-FIND("/",B2,FIND("/",B2)+1))),VALUE(MID(B2,FIND("/",B2)+1,FIND("/",B2,FIND("/",B2)+1)-FIND("/",B2)-1)),VALUE(LEFT(B2,FIND("/",B2)-1)))))-(IF(ISNUMBER(A2),A2,DATE(VALUE(RIGHT(A2,LEN(A2)-FIND("/",A2,FIND("/",A2)+1))),VALUE(MID(A2,FIND("/",A2)+1,FIND("/",A2,FIND("/",A2)+1)-FIND("/",A2)-1)),VALUE(LEFT(A2,FIND("/",A2)-1))))),""),"")</f>
        <v/>
      </c>
      <c r="D2" s="9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>
        <f>SUM(E2:L2)</f>
        <v/>
      </c>
      <c r="N2" s="10" t="n"/>
      <c r="O2" s="10" t="n"/>
      <c r="P2" s="10" t="n"/>
      <c r="Q2" s="10" t="n"/>
      <c r="R2" s="10">
        <f>SUM(N2:Q2)</f>
        <v/>
      </c>
      <c r="S2" s="11" t="n"/>
      <c r="T2" s="10" t="n"/>
      <c r="U2" s="10">
        <f>MAX(R2-(M2+T2),0)</f>
        <v/>
      </c>
      <c r="V2" s="10">
        <f>MAX((M2+T2)-R2,0)</f>
        <v/>
      </c>
    </row>
    <row r="3">
      <c r="A3" s="12" t="inlineStr">
        <is>
          <t>Type date as dd/mm/yyyy</t>
        </is>
      </c>
      <c r="B3" s="12" t="inlineStr">
        <is>
          <t>Type date as dd/mm/yyyy</t>
        </is>
      </c>
    </row>
  </sheetData>
  <conditionalFormatting sqref="U2:U1048576">
    <cfRule type="cellIs" priority="1" operator="greaterThan" dxfId="0">
      <formula>0</formula>
    </cfRule>
  </conditionalFormatting>
  <conditionalFormatting sqref="V2:V1048576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14" customWidth="1" min="6" max="6"/>
    <col width="20" customWidth="1" min="7" max="7"/>
    <col width="14" customWidth="1" min="8" max="8"/>
    <col width="14" customWidth="1" min="9" max="9"/>
  </cols>
  <sheetData>
    <row r="1" ht="24" customHeight="1">
      <c r="A1" s="13" t="inlineStr">
        <is>
          <t>Year</t>
        </is>
      </c>
      <c r="B1" s="13" t="inlineStr">
        <is>
          <t>Month No</t>
        </is>
      </c>
      <c r="C1" s="13" t="inlineStr">
        <is>
          <t>Month Name</t>
        </is>
      </c>
      <c r="D1" s="13" t="inlineStr">
        <is>
          <t>Trips</t>
        </is>
      </c>
      <c r="E1" s="13" t="inlineStr">
        <is>
          <t>Total Expenses</t>
        </is>
      </c>
      <c r="F1" s="13" t="inlineStr">
        <is>
          <t>Total Income</t>
        </is>
      </c>
      <c r="G1" s="13" t="inlineStr">
        <is>
          <t>Additional Expenses</t>
        </is>
      </c>
      <c r="H1" s="13" t="inlineStr">
        <is>
          <t>Profit</t>
        </is>
      </c>
      <c r="I1" s="13" t="inlineStr">
        <is>
          <t>Loss</t>
        </is>
      </c>
    </row>
    <row r="2">
      <c r="A2" s="14">
        <f>YEAR(TODAY())</f>
        <v/>
      </c>
      <c r="B2" s="14" t="n">
        <v>1</v>
      </c>
      <c r="C2" s="14">
        <f>TEXT(DATE(A2,B2,1),"mmmm")</f>
        <v/>
      </c>
      <c r="D2" s="14">
        <f>SUMPRODUCT((IFERROR(--RIGHT(DailyRouteRecordTable[Departure Date],4),0)=A2)*(IFERROR(--MID(DailyRouteRecordTable[Departure Date],4,2),0)=B2))</f>
        <v/>
      </c>
      <c r="E2" s="10">
        <f>SUMPRODUCT((IFERROR(--RIGHT(DailyRouteRecordTable[Departure Date],4),0)=A2)*(IFERROR(--MID(DailyRouteRecordTable[Departure Date],4,2),0)=B2)*N(DailyRouteRecordTable[Total Expenses]))</f>
        <v/>
      </c>
      <c r="F2" s="10">
        <f>SUMPRODUCT((IFERROR(--RIGHT(DailyRouteRecordTable[Departure Date],4),0)=A2)*(IFERROR(--MID(DailyRouteRecordTable[Departure Date],4,2),0)=B2)*N(DailyRouteRecordTable[Total Income]))</f>
        <v/>
      </c>
      <c r="G2" s="10">
        <f>SUMPRODUCT((IFERROR(--RIGHT(DailyRouteRecordTable[Departure Date],4),0)=A2)*(IFERROR(--MID(DailyRouteRecordTable[Departure Date],4,2),0)=B2)*N(DailyRouteRecordTable[Additional Expense Amount]))</f>
        <v/>
      </c>
      <c r="H2" s="10">
        <f>MAX(F2-(E2+G2),0)</f>
        <v/>
      </c>
      <c r="I2" s="10">
        <f>MAX((E2+G2)-F2,0)</f>
        <v/>
      </c>
    </row>
    <row r="3">
      <c r="A3" s="14">
        <f>YEAR(TODAY())</f>
        <v/>
      </c>
      <c r="B3" s="14" t="n">
        <v>2</v>
      </c>
      <c r="C3" s="14">
        <f>TEXT(DATE(A3,B3,1),"mmmm")</f>
        <v/>
      </c>
      <c r="D3" s="14">
        <f>SUMPRODUCT((IFERROR(--RIGHT(DailyRouteRecordTable[Departure Date],4),0)=A3)*(IFERROR(--MID(DailyRouteRecordTable[Departure Date],4,2),0)=B3))</f>
        <v/>
      </c>
      <c r="E3" s="10">
        <f>SUMPRODUCT((IFERROR(--RIGHT(DailyRouteRecordTable[Departure Date],4),0)=A3)*(IFERROR(--MID(DailyRouteRecordTable[Departure Date],4,2),0)=B3)*N(DailyRouteRecordTable[Total Expenses]))</f>
        <v/>
      </c>
      <c r="F3" s="10">
        <f>SUMPRODUCT((IFERROR(--RIGHT(DailyRouteRecordTable[Departure Date],4),0)=A3)*(IFERROR(--MID(DailyRouteRecordTable[Departure Date],4,2),0)=B3)*N(DailyRouteRecordTable[Total Income]))</f>
        <v/>
      </c>
      <c r="G3" s="10">
        <f>SUMPRODUCT((IFERROR(--RIGHT(DailyRouteRecordTable[Departure Date],4),0)=A3)*(IFERROR(--MID(DailyRouteRecordTable[Departure Date],4,2),0)=B3)*N(DailyRouteRecordTable[Additional Expense Amount]))</f>
        <v/>
      </c>
      <c r="H3" s="10">
        <f>MAX(F3-(E3+G3),0)</f>
        <v/>
      </c>
      <c r="I3" s="10">
        <f>MAX((E3+G3)-F3,0)</f>
        <v/>
      </c>
    </row>
    <row r="4">
      <c r="A4" s="14">
        <f>YEAR(TODAY())</f>
        <v/>
      </c>
      <c r="B4" s="14" t="n">
        <v>3</v>
      </c>
      <c r="C4" s="14">
        <f>TEXT(DATE(A4,B4,1),"mmmm")</f>
        <v/>
      </c>
      <c r="D4" s="14">
        <f>SUMPRODUCT((IFERROR(--RIGHT(DailyRouteRecordTable[Departure Date],4),0)=A4)*(IFERROR(--MID(DailyRouteRecordTable[Departure Date],4,2),0)=B4))</f>
        <v/>
      </c>
      <c r="E4" s="10">
        <f>SUMPRODUCT((IFERROR(--RIGHT(DailyRouteRecordTable[Departure Date],4),0)=A4)*(IFERROR(--MID(DailyRouteRecordTable[Departure Date],4,2),0)=B4)*N(DailyRouteRecordTable[Total Expenses]))</f>
        <v/>
      </c>
      <c r="F4" s="10">
        <f>SUMPRODUCT((IFERROR(--RIGHT(DailyRouteRecordTable[Departure Date],4),0)=A4)*(IFERROR(--MID(DailyRouteRecordTable[Departure Date],4,2),0)=B4)*N(DailyRouteRecordTable[Total Income]))</f>
        <v/>
      </c>
      <c r="G4" s="10">
        <f>SUMPRODUCT((IFERROR(--RIGHT(DailyRouteRecordTable[Departure Date],4),0)=A4)*(IFERROR(--MID(DailyRouteRecordTable[Departure Date],4,2),0)=B4)*N(DailyRouteRecordTable[Additional Expense Amount]))</f>
        <v/>
      </c>
      <c r="H4" s="10">
        <f>MAX(F4-(E4+G4),0)</f>
        <v/>
      </c>
      <c r="I4" s="10">
        <f>MAX((E4+G4)-F4,0)</f>
        <v/>
      </c>
    </row>
    <row r="5">
      <c r="A5" s="14">
        <f>YEAR(TODAY())</f>
        <v/>
      </c>
      <c r="B5" s="14" t="n">
        <v>4</v>
      </c>
      <c r="C5" s="14">
        <f>TEXT(DATE(A5,B5,1),"mmmm")</f>
        <v/>
      </c>
      <c r="D5" s="14">
        <f>SUMPRODUCT((IFERROR(--RIGHT(DailyRouteRecordTable[Departure Date],4),0)=A5)*(IFERROR(--MID(DailyRouteRecordTable[Departure Date],4,2),0)=B5))</f>
        <v/>
      </c>
      <c r="E5" s="10">
        <f>SUMPRODUCT((IFERROR(--RIGHT(DailyRouteRecordTable[Departure Date],4),0)=A5)*(IFERROR(--MID(DailyRouteRecordTable[Departure Date],4,2),0)=B5)*N(DailyRouteRecordTable[Total Expenses]))</f>
        <v/>
      </c>
      <c r="F5" s="10">
        <f>SUMPRODUCT((IFERROR(--RIGHT(DailyRouteRecordTable[Departure Date],4),0)=A5)*(IFERROR(--MID(DailyRouteRecordTable[Departure Date],4,2),0)=B5)*N(DailyRouteRecordTable[Total Income]))</f>
        <v/>
      </c>
      <c r="G5" s="10">
        <f>SUMPRODUCT((IFERROR(--RIGHT(DailyRouteRecordTable[Departure Date],4),0)=A5)*(IFERROR(--MID(DailyRouteRecordTable[Departure Date],4,2),0)=B5)*N(DailyRouteRecordTable[Additional Expense Amount]))</f>
        <v/>
      </c>
      <c r="H5" s="10">
        <f>MAX(F5-(E5+G5),0)</f>
        <v/>
      </c>
      <c r="I5" s="10">
        <f>MAX((E5+G5)-F5,0)</f>
        <v/>
      </c>
    </row>
    <row r="6">
      <c r="A6" s="14">
        <f>YEAR(TODAY())</f>
        <v/>
      </c>
      <c r="B6" s="14" t="n">
        <v>5</v>
      </c>
      <c r="C6" s="14">
        <f>TEXT(DATE(A6,B6,1),"mmmm")</f>
        <v/>
      </c>
      <c r="D6" s="14">
        <f>SUMPRODUCT((IFERROR(--RIGHT(DailyRouteRecordTable[Departure Date],4),0)=A6)*(IFERROR(--MID(DailyRouteRecordTable[Departure Date],4,2),0)=B6))</f>
        <v/>
      </c>
      <c r="E6" s="10">
        <f>SUMPRODUCT((IFERROR(--RIGHT(DailyRouteRecordTable[Departure Date],4),0)=A6)*(IFERROR(--MID(DailyRouteRecordTable[Departure Date],4,2),0)=B6)*N(DailyRouteRecordTable[Total Expenses]))</f>
        <v/>
      </c>
      <c r="F6" s="10">
        <f>SUMPRODUCT((IFERROR(--RIGHT(DailyRouteRecordTable[Departure Date],4),0)=A6)*(IFERROR(--MID(DailyRouteRecordTable[Departure Date],4,2),0)=B6)*N(DailyRouteRecordTable[Total Income]))</f>
        <v/>
      </c>
      <c r="G6" s="10">
        <f>SUMPRODUCT((IFERROR(--RIGHT(DailyRouteRecordTable[Departure Date],4),0)=A6)*(IFERROR(--MID(DailyRouteRecordTable[Departure Date],4,2),0)=B6)*N(DailyRouteRecordTable[Additional Expense Amount]))</f>
        <v/>
      </c>
      <c r="H6" s="10">
        <f>MAX(F6-(E6+G6),0)</f>
        <v/>
      </c>
      <c r="I6" s="10">
        <f>MAX((E6+G6)-F6,0)</f>
        <v/>
      </c>
    </row>
    <row r="7">
      <c r="A7" s="14">
        <f>YEAR(TODAY())</f>
        <v/>
      </c>
      <c r="B7" s="14" t="n">
        <v>6</v>
      </c>
      <c r="C7" s="14">
        <f>TEXT(DATE(A7,B7,1),"mmmm")</f>
        <v/>
      </c>
      <c r="D7" s="14">
        <f>SUMPRODUCT((IFERROR(--RIGHT(DailyRouteRecordTable[Departure Date],4),0)=A7)*(IFERROR(--MID(DailyRouteRecordTable[Departure Date],4,2),0)=B7))</f>
        <v/>
      </c>
      <c r="E7" s="10">
        <f>SUMPRODUCT((IFERROR(--RIGHT(DailyRouteRecordTable[Departure Date],4),0)=A7)*(IFERROR(--MID(DailyRouteRecordTable[Departure Date],4,2),0)=B7)*N(DailyRouteRecordTable[Total Expenses]))</f>
        <v/>
      </c>
      <c r="F7" s="10">
        <f>SUMPRODUCT((IFERROR(--RIGHT(DailyRouteRecordTable[Departure Date],4),0)=A7)*(IFERROR(--MID(DailyRouteRecordTable[Departure Date],4,2),0)=B7)*N(DailyRouteRecordTable[Total Income]))</f>
        <v/>
      </c>
      <c r="G7" s="10">
        <f>SUMPRODUCT((IFERROR(--RIGHT(DailyRouteRecordTable[Departure Date],4),0)=A7)*(IFERROR(--MID(DailyRouteRecordTable[Departure Date],4,2),0)=B7)*N(DailyRouteRecordTable[Additional Expense Amount]))</f>
        <v/>
      </c>
      <c r="H7" s="10">
        <f>MAX(F7-(E7+G7),0)</f>
        <v/>
      </c>
      <c r="I7" s="10">
        <f>MAX((E7+G7)-F7,0)</f>
        <v/>
      </c>
    </row>
    <row r="8">
      <c r="A8" s="14">
        <f>YEAR(TODAY())</f>
        <v/>
      </c>
      <c r="B8" s="14" t="n">
        <v>7</v>
      </c>
      <c r="C8" s="14">
        <f>TEXT(DATE(A8,B8,1),"mmmm")</f>
        <v/>
      </c>
      <c r="D8" s="14">
        <f>SUMPRODUCT((IFERROR(--RIGHT(DailyRouteRecordTable[Departure Date],4),0)=A8)*(IFERROR(--MID(DailyRouteRecordTable[Departure Date],4,2),0)=B8))</f>
        <v/>
      </c>
      <c r="E8" s="10">
        <f>SUMPRODUCT((IFERROR(--RIGHT(DailyRouteRecordTable[Departure Date],4),0)=A8)*(IFERROR(--MID(DailyRouteRecordTable[Departure Date],4,2),0)=B8)*N(DailyRouteRecordTable[Total Expenses]))</f>
        <v/>
      </c>
      <c r="F8" s="10">
        <f>SUMPRODUCT((IFERROR(--RIGHT(DailyRouteRecordTable[Departure Date],4),0)=A8)*(IFERROR(--MID(DailyRouteRecordTable[Departure Date],4,2),0)=B8)*N(DailyRouteRecordTable[Total Income]))</f>
        <v/>
      </c>
      <c r="G8" s="10">
        <f>SUMPRODUCT((IFERROR(--RIGHT(DailyRouteRecordTable[Departure Date],4),0)=A8)*(IFERROR(--MID(DailyRouteRecordTable[Departure Date],4,2),0)=B8)*N(DailyRouteRecordTable[Additional Expense Amount]))</f>
        <v/>
      </c>
      <c r="H8" s="10">
        <f>MAX(F8-(E8+G8),0)</f>
        <v/>
      </c>
      <c r="I8" s="10">
        <f>MAX((E8+G8)-F8,0)</f>
        <v/>
      </c>
    </row>
    <row r="9">
      <c r="A9" s="14">
        <f>YEAR(TODAY())</f>
        <v/>
      </c>
      <c r="B9" s="14" t="n">
        <v>8</v>
      </c>
      <c r="C9" s="14">
        <f>TEXT(DATE(A9,B9,1),"mmmm")</f>
        <v/>
      </c>
      <c r="D9" s="14">
        <f>SUMPRODUCT((IFERROR(--RIGHT(DailyRouteRecordTable[Departure Date],4),0)=A9)*(IFERROR(--MID(DailyRouteRecordTable[Departure Date],4,2),0)=B9))</f>
        <v/>
      </c>
      <c r="E9" s="10">
        <f>SUMPRODUCT((IFERROR(--RIGHT(DailyRouteRecordTable[Departure Date],4),0)=A9)*(IFERROR(--MID(DailyRouteRecordTable[Departure Date],4,2),0)=B9)*N(DailyRouteRecordTable[Total Expenses]))</f>
        <v/>
      </c>
      <c r="F9" s="10">
        <f>SUMPRODUCT((IFERROR(--RIGHT(DailyRouteRecordTable[Departure Date],4),0)=A9)*(IFERROR(--MID(DailyRouteRecordTable[Departure Date],4,2),0)=B9)*N(DailyRouteRecordTable[Total Income]))</f>
        <v/>
      </c>
      <c r="G9" s="10">
        <f>SUMPRODUCT((IFERROR(--RIGHT(DailyRouteRecordTable[Departure Date],4),0)=A9)*(IFERROR(--MID(DailyRouteRecordTable[Departure Date],4,2),0)=B9)*N(DailyRouteRecordTable[Additional Expense Amount]))</f>
        <v/>
      </c>
      <c r="H9" s="10">
        <f>MAX(F9-(E9+G9),0)</f>
        <v/>
      </c>
      <c r="I9" s="10">
        <f>MAX((E9+G9)-F9,0)</f>
        <v/>
      </c>
    </row>
    <row r="10">
      <c r="A10" s="14">
        <f>YEAR(TODAY())</f>
        <v/>
      </c>
      <c r="B10" s="14" t="n">
        <v>9</v>
      </c>
      <c r="C10" s="14">
        <f>TEXT(DATE(A10,B10,1),"mmmm")</f>
        <v/>
      </c>
      <c r="D10" s="14">
        <f>SUMPRODUCT((IFERROR(--RIGHT(DailyRouteRecordTable[Departure Date],4),0)=A10)*(IFERROR(--MID(DailyRouteRecordTable[Departure Date],4,2),0)=B10))</f>
        <v/>
      </c>
      <c r="E10" s="10">
        <f>SUMPRODUCT((IFERROR(--RIGHT(DailyRouteRecordTable[Departure Date],4),0)=A10)*(IFERROR(--MID(DailyRouteRecordTable[Departure Date],4,2),0)=B10)*N(DailyRouteRecordTable[Total Expenses]))</f>
        <v/>
      </c>
      <c r="F10" s="10">
        <f>SUMPRODUCT((IFERROR(--RIGHT(DailyRouteRecordTable[Departure Date],4),0)=A10)*(IFERROR(--MID(DailyRouteRecordTable[Departure Date],4,2),0)=B10)*N(DailyRouteRecordTable[Total Income]))</f>
        <v/>
      </c>
      <c r="G10" s="10">
        <f>SUMPRODUCT((IFERROR(--RIGHT(DailyRouteRecordTable[Departure Date],4),0)=A10)*(IFERROR(--MID(DailyRouteRecordTable[Departure Date],4,2),0)=B10)*N(DailyRouteRecordTable[Additional Expense Amount]))</f>
        <v/>
      </c>
      <c r="H10" s="10">
        <f>MAX(F10-(E10+G10),0)</f>
        <v/>
      </c>
      <c r="I10" s="10">
        <f>MAX((E10+G10)-F10,0)</f>
        <v/>
      </c>
    </row>
    <row r="11">
      <c r="A11" s="14">
        <f>YEAR(TODAY())</f>
        <v/>
      </c>
      <c r="B11" s="14" t="n">
        <v>10</v>
      </c>
      <c r="C11" s="14">
        <f>TEXT(DATE(A11,B11,1),"mmmm")</f>
        <v/>
      </c>
      <c r="D11" s="14">
        <f>SUMPRODUCT((IFERROR(--RIGHT(DailyRouteRecordTable[Departure Date],4),0)=A11)*(IFERROR(--MID(DailyRouteRecordTable[Departure Date],4,2),0)=B11))</f>
        <v/>
      </c>
      <c r="E11" s="10">
        <f>SUMPRODUCT((IFERROR(--RIGHT(DailyRouteRecordTable[Departure Date],4),0)=A11)*(IFERROR(--MID(DailyRouteRecordTable[Departure Date],4,2),0)=B11)*N(DailyRouteRecordTable[Total Expenses]))</f>
        <v/>
      </c>
      <c r="F11" s="10">
        <f>SUMPRODUCT((IFERROR(--RIGHT(DailyRouteRecordTable[Departure Date],4),0)=A11)*(IFERROR(--MID(DailyRouteRecordTable[Departure Date],4,2),0)=B11)*N(DailyRouteRecordTable[Total Income]))</f>
        <v/>
      </c>
      <c r="G11" s="10">
        <f>SUMPRODUCT((IFERROR(--RIGHT(DailyRouteRecordTable[Departure Date],4),0)=A11)*(IFERROR(--MID(DailyRouteRecordTable[Departure Date],4,2),0)=B11)*N(DailyRouteRecordTable[Additional Expense Amount]))</f>
        <v/>
      </c>
      <c r="H11" s="10">
        <f>MAX(F11-(E11+G11),0)</f>
        <v/>
      </c>
      <c r="I11" s="10">
        <f>MAX((E11+G11)-F11,0)</f>
        <v/>
      </c>
    </row>
    <row r="12">
      <c r="A12" s="14">
        <f>YEAR(TODAY())</f>
        <v/>
      </c>
      <c r="B12" s="14" t="n">
        <v>11</v>
      </c>
      <c r="C12" s="14">
        <f>TEXT(DATE(A12,B12,1),"mmmm")</f>
        <v/>
      </c>
      <c r="D12" s="14">
        <f>SUMPRODUCT((IFERROR(--RIGHT(DailyRouteRecordTable[Departure Date],4),0)=A12)*(IFERROR(--MID(DailyRouteRecordTable[Departure Date],4,2),0)=B12))</f>
        <v/>
      </c>
      <c r="E12" s="10">
        <f>SUMPRODUCT((IFERROR(--RIGHT(DailyRouteRecordTable[Departure Date],4),0)=A12)*(IFERROR(--MID(DailyRouteRecordTable[Departure Date],4,2),0)=B12)*N(DailyRouteRecordTable[Total Expenses]))</f>
        <v/>
      </c>
      <c r="F12" s="10">
        <f>SUMPRODUCT((IFERROR(--RIGHT(DailyRouteRecordTable[Departure Date],4),0)=A12)*(IFERROR(--MID(DailyRouteRecordTable[Departure Date],4,2),0)=B12)*N(DailyRouteRecordTable[Total Income]))</f>
        <v/>
      </c>
      <c r="G12" s="10">
        <f>SUMPRODUCT((IFERROR(--RIGHT(DailyRouteRecordTable[Departure Date],4),0)=A12)*(IFERROR(--MID(DailyRouteRecordTable[Departure Date],4,2),0)=B12)*N(DailyRouteRecordTable[Additional Expense Amount]))</f>
        <v/>
      </c>
      <c r="H12" s="10">
        <f>MAX(F12-(E12+G12),0)</f>
        <v/>
      </c>
      <c r="I12" s="10">
        <f>MAX((E12+G12)-F12,0)</f>
        <v/>
      </c>
    </row>
    <row r="13">
      <c r="A13" s="14">
        <f>YEAR(TODAY())</f>
        <v/>
      </c>
      <c r="B13" s="14" t="n">
        <v>12</v>
      </c>
      <c r="C13" s="14">
        <f>TEXT(DATE(A13,B13,1),"mmmm")</f>
        <v/>
      </c>
      <c r="D13" s="14">
        <f>SUMPRODUCT((IFERROR(--RIGHT(DailyRouteRecordTable[Departure Date],4),0)=A13)*(IFERROR(--MID(DailyRouteRecordTable[Departure Date],4,2),0)=B13))</f>
        <v/>
      </c>
      <c r="E13" s="10">
        <f>SUMPRODUCT((IFERROR(--RIGHT(DailyRouteRecordTable[Departure Date],4),0)=A13)*(IFERROR(--MID(DailyRouteRecordTable[Departure Date],4,2),0)=B13)*N(DailyRouteRecordTable[Total Expenses]))</f>
        <v/>
      </c>
      <c r="F13" s="10">
        <f>SUMPRODUCT((IFERROR(--RIGHT(DailyRouteRecordTable[Departure Date],4),0)=A13)*(IFERROR(--MID(DailyRouteRecordTable[Departure Date],4,2),0)=B13)*N(DailyRouteRecordTable[Total Income]))</f>
        <v/>
      </c>
      <c r="G13" s="10">
        <f>SUMPRODUCT((IFERROR(--RIGHT(DailyRouteRecordTable[Departure Date],4),0)=A13)*(IFERROR(--MID(DailyRouteRecordTable[Departure Date],4,2),0)=B13)*N(DailyRouteRecordTable[Additional Expense Amount]))</f>
        <v/>
      </c>
      <c r="H13" s="10">
        <f>MAX(F13-(E13+G13),0)</f>
        <v/>
      </c>
      <c r="I13" s="10">
        <f>MAX((E13+G13)-F13,0)</f>
        <v/>
      </c>
    </row>
  </sheetData>
  <conditionalFormatting sqref="H2:H13">
    <cfRule type="cellIs" priority="1" operator="greaterThan" dxfId="0">
      <formula>0</formula>
    </cfRule>
  </conditionalFormatting>
  <conditionalFormatting sqref="I2:I13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 ht="24" customHeight="1">
      <c r="A1" s="15" t="inlineStr">
        <is>
          <t>Year</t>
        </is>
      </c>
      <c r="B1" s="15" t="inlineStr">
        <is>
          <t>Trips</t>
        </is>
      </c>
      <c r="C1" s="15" t="inlineStr">
        <is>
          <t>Total Expenses</t>
        </is>
      </c>
      <c r="D1" s="15" t="inlineStr">
        <is>
          <t>Total Income</t>
        </is>
      </c>
      <c r="E1" s="15" t="inlineStr">
        <is>
          <t>Additional Expenses</t>
        </is>
      </c>
      <c r="F1" s="15" t="inlineStr">
        <is>
          <t>Profit</t>
        </is>
      </c>
      <c r="G1" s="15" t="inlineStr">
        <is>
          <t>Loss</t>
        </is>
      </c>
    </row>
    <row r="2">
      <c r="A2" s="14">
        <f>YEAR(TODAY())-4+ROW()-2</f>
        <v/>
      </c>
      <c r="B2" s="14">
        <f>SUMPRODUCT((IFERROR(--RIGHT(DailyRouteRecordTable[Departure Date],4),0)=A2))</f>
        <v/>
      </c>
      <c r="C2" s="10">
        <f>SUMPRODUCT((IFERROR(--RIGHT(DailyRouteRecordTable[Departure Date],4),0)=A2)*N(DailyRouteRecordTable[Total Expenses]))</f>
        <v/>
      </c>
      <c r="D2" s="10">
        <f>SUMPRODUCT((IFERROR(--RIGHT(DailyRouteRecordTable[Departure Date],4),0)=A2)*N(DailyRouteRecordTable[Total Income]))</f>
        <v/>
      </c>
      <c r="E2" s="10">
        <f>SUMPRODUCT((IFERROR(--RIGHT(DailyRouteRecordTable[Departure Date],4),0)=A2)*N(DailyRouteRecordTable[Additional Expense Amount]))</f>
        <v/>
      </c>
      <c r="F2" s="10">
        <f>MAX(D2-(C2+E2),0)</f>
        <v/>
      </c>
      <c r="G2" s="10">
        <f>MAX((C2+E2)-D2,0)</f>
        <v/>
      </c>
    </row>
    <row r="3">
      <c r="A3" s="14">
        <f>YEAR(TODAY())-4+ROW()-2</f>
        <v/>
      </c>
      <c r="B3" s="14">
        <f>SUMPRODUCT((IFERROR(--RIGHT(DailyRouteRecordTable[Departure Date],4),0)=A3))</f>
        <v/>
      </c>
      <c r="C3" s="10">
        <f>SUMPRODUCT((IFERROR(--RIGHT(DailyRouteRecordTable[Departure Date],4),0)=A3)*N(DailyRouteRecordTable[Total Expenses]))</f>
        <v/>
      </c>
      <c r="D3" s="10">
        <f>SUMPRODUCT((IFERROR(--RIGHT(DailyRouteRecordTable[Departure Date],4),0)=A3)*N(DailyRouteRecordTable[Total Income]))</f>
        <v/>
      </c>
      <c r="E3" s="10">
        <f>SUMPRODUCT((IFERROR(--RIGHT(DailyRouteRecordTable[Departure Date],4),0)=A3)*N(DailyRouteRecordTable[Additional Expense Amount]))</f>
        <v/>
      </c>
      <c r="F3" s="10">
        <f>MAX(D3-(C3+E3),0)</f>
        <v/>
      </c>
      <c r="G3" s="10">
        <f>MAX((C3+E3)-D3,0)</f>
        <v/>
      </c>
    </row>
    <row r="4">
      <c r="A4" s="14">
        <f>YEAR(TODAY())-4+ROW()-2</f>
        <v/>
      </c>
      <c r="B4" s="14">
        <f>SUMPRODUCT((IFERROR(--RIGHT(DailyRouteRecordTable[Departure Date],4),0)=A4))</f>
        <v/>
      </c>
      <c r="C4" s="10">
        <f>SUMPRODUCT((IFERROR(--RIGHT(DailyRouteRecordTable[Departure Date],4),0)=A4)*N(DailyRouteRecordTable[Total Expenses]))</f>
        <v/>
      </c>
      <c r="D4" s="10">
        <f>SUMPRODUCT((IFERROR(--RIGHT(DailyRouteRecordTable[Departure Date],4),0)=A4)*N(DailyRouteRecordTable[Total Income]))</f>
        <v/>
      </c>
      <c r="E4" s="10">
        <f>SUMPRODUCT((IFERROR(--RIGHT(DailyRouteRecordTable[Departure Date],4),0)=A4)*N(DailyRouteRecordTable[Additional Expense Amount]))</f>
        <v/>
      </c>
      <c r="F4" s="10">
        <f>MAX(D4-(C4+E4),0)</f>
        <v/>
      </c>
      <c r="G4" s="10">
        <f>MAX((C4+E4)-D4,0)</f>
        <v/>
      </c>
    </row>
    <row r="5">
      <c r="A5" s="14">
        <f>YEAR(TODAY())-4+ROW()-2</f>
        <v/>
      </c>
      <c r="B5" s="14">
        <f>SUMPRODUCT((IFERROR(--RIGHT(DailyRouteRecordTable[Departure Date],4),0)=A5))</f>
        <v/>
      </c>
      <c r="C5" s="10">
        <f>SUMPRODUCT((IFERROR(--RIGHT(DailyRouteRecordTable[Departure Date],4),0)=A5)*N(DailyRouteRecordTable[Total Expenses]))</f>
        <v/>
      </c>
      <c r="D5" s="10">
        <f>SUMPRODUCT((IFERROR(--RIGHT(DailyRouteRecordTable[Departure Date],4),0)=A5)*N(DailyRouteRecordTable[Total Income]))</f>
        <v/>
      </c>
      <c r="E5" s="10">
        <f>SUMPRODUCT((IFERROR(--RIGHT(DailyRouteRecordTable[Departure Date],4),0)=A5)*N(DailyRouteRecordTable[Additional Expense Amount]))</f>
        <v/>
      </c>
      <c r="F5" s="10">
        <f>MAX(D5-(C5+E5),0)</f>
        <v/>
      </c>
      <c r="G5" s="10">
        <f>MAX((C5+E5)-D5,0)</f>
        <v/>
      </c>
    </row>
    <row r="6">
      <c r="A6" s="14">
        <f>YEAR(TODAY())-4+ROW()-2</f>
        <v/>
      </c>
      <c r="B6" s="14">
        <f>SUMPRODUCT((IFERROR(--RIGHT(DailyRouteRecordTable[Departure Date],4),0)=A6))</f>
        <v/>
      </c>
      <c r="C6" s="10">
        <f>SUMPRODUCT((IFERROR(--RIGHT(DailyRouteRecordTable[Departure Date],4),0)=A6)*N(DailyRouteRecordTable[Total Expenses]))</f>
        <v/>
      </c>
      <c r="D6" s="10">
        <f>SUMPRODUCT((IFERROR(--RIGHT(DailyRouteRecordTable[Departure Date],4),0)=A6)*N(DailyRouteRecordTable[Total Income]))</f>
        <v/>
      </c>
      <c r="E6" s="10">
        <f>SUMPRODUCT((IFERROR(--RIGHT(DailyRouteRecordTable[Departure Date],4),0)=A6)*N(DailyRouteRecordTable[Additional Expense Amount]))</f>
        <v/>
      </c>
      <c r="F6" s="10">
        <f>MAX(D6-(C6+E6),0)</f>
        <v/>
      </c>
      <c r="G6" s="10">
        <f>MAX((C6+E6)-D6,0)</f>
        <v/>
      </c>
    </row>
    <row r="7">
      <c r="A7" s="14">
        <f>YEAR(TODAY())-4+ROW()-2</f>
        <v/>
      </c>
      <c r="B7" s="14">
        <f>SUMPRODUCT((IFERROR(--RIGHT(DailyRouteRecordTable[Departure Date],4),0)=A7))</f>
        <v/>
      </c>
      <c r="C7" s="10">
        <f>SUMPRODUCT((IFERROR(--RIGHT(DailyRouteRecordTable[Departure Date],4),0)=A7)*N(DailyRouteRecordTable[Total Expenses]))</f>
        <v/>
      </c>
      <c r="D7" s="10">
        <f>SUMPRODUCT((IFERROR(--RIGHT(DailyRouteRecordTable[Departure Date],4),0)=A7)*N(DailyRouteRecordTable[Total Income]))</f>
        <v/>
      </c>
      <c r="E7" s="10">
        <f>SUMPRODUCT((IFERROR(--RIGHT(DailyRouteRecordTable[Departure Date],4),0)=A7)*N(DailyRouteRecordTable[Additional Expense Amount]))</f>
        <v/>
      </c>
      <c r="F7" s="10">
        <f>MAX(D7-(C7+E7),0)</f>
        <v/>
      </c>
      <c r="G7" s="10">
        <f>MAX((C7+E7)-D7,0)</f>
        <v/>
      </c>
    </row>
    <row r="8">
      <c r="A8" s="14">
        <f>YEAR(TODAY())-4+ROW()-2</f>
        <v/>
      </c>
      <c r="B8" s="14">
        <f>SUMPRODUCT((IFERROR(--RIGHT(DailyRouteRecordTable[Departure Date],4),0)=A8))</f>
        <v/>
      </c>
      <c r="C8" s="10">
        <f>SUMPRODUCT((IFERROR(--RIGHT(DailyRouteRecordTable[Departure Date],4),0)=A8)*N(DailyRouteRecordTable[Total Expenses]))</f>
        <v/>
      </c>
      <c r="D8" s="10">
        <f>SUMPRODUCT((IFERROR(--RIGHT(DailyRouteRecordTable[Departure Date],4),0)=A8)*N(DailyRouteRecordTable[Total Income]))</f>
        <v/>
      </c>
      <c r="E8" s="10">
        <f>SUMPRODUCT((IFERROR(--RIGHT(DailyRouteRecordTable[Departure Date],4),0)=A8)*N(DailyRouteRecordTable[Additional Expense Amount]))</f>
        <v/>
      </c>
      <c r="F8" s="10">
        <f>MAX(D8-(C8+E8),0)</f>
        <v/>
      </c>
      <c r="G8" s="10">
        <f>MAX((C8+E8)-D8,0)</f>
        <v/>
      </c>
    </row>
    <row r="9">
      <c r="A9" s="14">
        <f>YEAR(TODAY())-4+ROW()-2</f>
        <v/>
      </c>
      <c r="B9" s="14">
        <f>SUMPRODUCT((IFERROR(--RIGHT(DailyRouteRecordTable[Departure Date],4),0)=A9))</f>
        <v/>
      </c>
      <c r="C9" s="10">
        <f>SUMPRODUCT((IFERROR(--RIGHT(DailyRouteRecordTable[Departure Date],4),0)=A9)*N(DailyRouteRecordTable[Total Expenses]))</f>
        <v/>
      </c>
      <c r="D9" s="10">
        <f>SUMPRODUCT((IFERROR(--RIGHT(DailyRouteRecordTable[Departure Date],4),0)=A9)*N(DailyRouteRecordTable[Total Income]))</f>
        <v/>
      </c>
      <c r="E9" s="10">
        <f>SUMPRODUCT((IFERROR(--RIGHT(DailyRouteRecordTable[Departure Date],4),0)=A9)*N(DailyRouteRecordTable[Additional Expense Amount]))</f>
        <v/>
      </c>
      <c r="F9" s="10">
        <f>MAX(D9-(C9+E9),0)</f>
        <v/>
      </c>
      <c r="G9" s="10">
        <f>MAX((C9+E9)-D9,0)</f>
        <v/>
      </c>
    </row>
    <row r="10">
      <c r="A10" s="14">
        <f>YEAR(TODAY())-4+ROW()-2</f>
        <v/>
      </c>
      <c r="B10" s="14">
        <f>SUMPRODUCT((IFERROR(--RIGHT(DailyRouteRecordTable[Departure Date],4),0)=A10))</f>
        <v/>
      </c>
      <c r="C10" s="10">
        <f>SUMPRODUCT((IFERROR(--RIGHT(DailyRouteRecordTable[Departure Date],4),0)=A10)*N(DailyRouteRecordTable[Total Expenses]))</f>
        <v/>
      </c>
      <c r="D10" s="10">
        <f>SUMPRODUCT((IFERROR(--RIGHT(DailyRouteRecordTable[Departure Date],4),0)=A10)*N(DailyRouteRecordTable[Total Income]))</f>
        <v/>
      </c>
      <c r="E10" s="10">
        <f>SUMPRODUCT((IFERROR(--RIGHT(DailyRouteRecordTable[Departure Date],4),0)=A10)*N(DailyRouteRecordTable[Additional Expense Amount]))</f>
        <v/>
      </c>
      <c r="F10" s="10">
        <f>MAX(D10-(C10+E10),0)</f>
        <v/>
      </c>
      <c r="G10" s="10">
        <f>MAX((C10+E10)-D10,0)</f>
        <v/>
      </c>
    </row>
    <row r="11">
      <c r="A11" s="14">
        <f>YEAR(TODAY())-4+ROW()-2</f>
        <v/>
      </c>
      <c r="B11" s="14">
        <f>SUMPRODUCT((IFERROR(--RIGHT(DailyRouteRecordTable[Departure Date],4),0)=A11))</f>
        <v/>
      </c>
      <c r="C11" s="10">
        <f>SUMPRODUCT((IFERROR(--RIGHT(DailyRouteRecordTable[Departure Date],4),0)=A11)*N(DailyRouteRecordTable[Total Expenses]))</f>
        <v/>
      </c>
      <c r="D11" s="10">
        <f>SUMPRODUCT((IFERROR(--RIGHT(DailyRouteRecordTable[Departure Date],4),0)=A11)*N(DailyRouteRecordTable[Total Income]))</f>
        <v/>
      </c>
      <c r="E11" s="10">
        <f>SUMPRODUCT((IFERROR(--RIGHT(DailyRouteRecordTable[Departure Date],4),0)=A11)*N(DailyRouteRecordTable[Additional Expense Amount]))</f>
        <v/>
      </c>
      <c r="F11" s="10">
        <f>MAX(D11-(C11+E11),0)</f>
        <v/>
      </c>
      <c r="G11" s="10">
        <f>MAX((C11+E11)-D11,0)</f>
        <v/>
      </c>
    </row>
  </sheetData>
  <conditionalFormatting sqref="F2:F11">
    <cfRule type="cellIs" priority="1" operator="greaterThan" dxfId="0">
      <formula>0</formula>
    </cfRule>
  </conditionalFormatting>
  <conditionalFormatting sqref="G2:G11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30" customHeight="1">
      <c r="A1" s="16" t="inlineStr">
        <is>
          <t>Transport Business Dashboard</t>
        </is>
      </c>
      <c r="N1" t="inlineStr">
        <is>
          <t>Route List</t>
        </is>
      </c>
      <c r="O1" t="inlineStr">
        <is>
          <t>Profit (Selected Month)</t>
        </is>
      </c>
      <c r="P1" t="inlineStr">
        <is>
          <t>Loss (Selected Month)</t>
        </is>
      </c>
      <c r="R1" t="inlineStr">
        <is>
          <t>Top 5 Profitable Routes</t>
        </is>
      </c>
      <c r="S1" t="inlineStr">
        <is>
          <t>Profit</t>
        </is>
      </c>
      <c r="T1" t="inlineStr">
        <is>
          <t>Top 5 Non-Profitable Routes</t>
        </is>
      </c>
      <c r="U1" t="inlineStr">
        <is>
          <t>Loss</t>
        </is>
      </c>
    </row>
    <row r="2">
      <c r="A2" s="17" t="inlineStr">
        <is>
          <t>Theme</t>
        </is>
      </c>
      <c r="B2" s="18" t="inlineStr">
        <is>
          <t>Light</t>
        </is>
      </c>
      <c r="N2">
        <f>SORT(UNIQUE(FILTER(DailyRouteRecordTable[Route],DailyRouteRecordTable[Route]&lt;&gt;"")))</f>
        <v/>
      </c>
      <c r="O2">
        <f>BYROW(N2#,LAMBDA(r,SUMPRODUCT((DailyRouteRecordTable[Route]=r)*(IF($B$6="All",1,IFERROR(--MID(DailyRouteRecordTable[Departure Date],4,2),0)=MATCH($B$6,{"January","February","March","April","May","June","July","August","September","October","November","December"},0)))*N(DailyRouteRecordTable[Profit]))))</f>
        <v/>
      </c>
      <c r="P2">
        <f>BYROW(N2#,LAMBDA(r,SUMPRODUCT((DailyRouteRecordTable[Route]=r)*(IF($B$6="All",1,IFERROR(--MID(DailyRouteRecordTable[Departure Date],4,2),0)=MATCH($B$6,{"January","February","March","April","May","June","July","August","September","October","November","December"},0)))*N(DailyRouteRecordTable[Loss]))))</f>
        <v/>
      </c>
      <c r="R2">
        <f>IFERROR(TAKE(SORTBY(HSTACK(N2#,O2#),O2#,-1),5),"")</f>
        <v/>
      </c>
      <c r="T2">
        <f>IFERROR(TAKE(SORTBY(HSTACK(N2#,P2#),P2#,-1),5),"")</f>
        <v/>
      </c>
    </row>
    <row r="3" ht="22" customHeight="1">
      <c r="A3" s="19" t="inlineStr">
        <is>
          <t>Total Trips</t>
        </is>
      </c>
      <c r="B3" s="14" t="n"/>
      <c r="C3" s="20" t="inlineStr">
        <is>
          <t>Total Income</t>
        </is>
      </c>
      <c r="D3" s="14" t="n"/>
      <c r="E3" s="21" t="inlineStr">
        <is>
          <t>Total Expenses</t>
        </is>
      </c>
      <c r="F3" s="14" t="n"/>
      <c r="G3" s="22" t="inlineStr">
        <is>
          <t>Total Profit</t>
        </is>
      </c>
      <c r="H3" s="14" t="n"/>
      <c r="I3" s="23" t="inlineStr">
        <is>
          <t>Total Loss</t>
        </is>
      </c>
      <c r="J3" s="14" t="n"/>
      <c r="K3" s="24" t="inlineStr">
        <is>
          <t>Net Result</t>
        </is>
      </c>
      <c r="L3" s="14" t="n"/>
    </row>
    <row r="4" ht="24" customHeight="1">
      <c r="A4" s="25">
        <f>SUM('Monthly Summary'!D2:D13)</f>
        <v/>
      </c>
      <c r="B4" s="14" t="n"/>
      <c r="C4" s="26">
        <f>SUM('Monthly Summary'!F2:F13)</f>
        <v/>
      </c>
      <c r="D4" s="14" t="n"/>
      <c r="E4" s="27">
        <f>SUM('Monthly Summary'!E2:E13)</f>
        <v/>
      </c>
      <c r="F4" s="14" t="n"/>
      <c r="G4" s="28">
        <f>SUM('Monthly Summary'!H2:H13)</f>
        <v/>
      </c>
      <c r="H4" s="14" t="n"/>
      <c r="I4" s="29">
        <f>SUM('Monthly Summary'!I2:I13)</f>
        <v/>
      </c>
      <c r="J4" s="14" t="n"/>
      <c r="K4" s="30">
        <f>G4-I4</f>
        <v/>
      </c>
      <c r="L4" s="14" t="n"/>
    </row>
    <row r="6">
      <c r="A6" s="17" t="inlineStr">
        <is>
          <t>Month Selector</t>
        </is>
      </c>
      <c r="B6" s="18" t="inlineStr">
        <is>
          <t>All</t>
        </is>
      </c>
      <c r="C6" s="31" t="inlineStr">
        <is>
          <t>Pick month to update route-wise charts</t>
        </is>
      </c>
    </row>
  </sheetData>
  <mergeCells count="13">
    <mergeCell ref="A4:B4"/>
    <mergeCell ref="G4:H4"/>
    <mergeCell ref="E4:F4"/>
    <mergeCell ref="I4:J4"/>
    <mergeCell ref="I3:J3"/>
    <mergeCell ref="A1:L1"/>
    <mergeCell ref="K4:L4"/>
    <mergeCell ref="C3:D3"/>
    <mergeCell ref="A3:B3"/>
    <mergeCell ref="G3:H3"/>
    <mergeCell ref="E3:F3"/>
    <mergeCell ref="K3:L3"/>
    <mergeCell ref="C4:D4"/>
  </mergeCells>
  <conditionalFormatting sqref="A1:L2">
    <cfRule type="expression" priority="1" dxfId="2">
      <formula>$B$2="Dark"</formula>
    </cfRule>
  </conditionalFormatting>
  <conditionalFormatting sqref="A5:L45">
    <cfRule type="expression" priority="2" dxfId="2">
      <formula>$B$2="Dark"</formula>
    </cfRule>
  </conditionalFormatting>
  <dataValidations count="2">
    <dataValidation sqref="B2" showDropDown="0" showInputMessage="0" showErrorMessage="0" allowBlank="0" type="list">
      <formula1>"Light,Dark"</formula1>
    </dataValidation>
    <dataValidation sqref="B6" showDropDown="0" showInputMessage="0" showErrorMessage="0" allowBlank="0" type="list">
      <formula1>"All,January,February,March,April,May,June,July,August,September,October,November,December"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2026-02-11T21:41:45Z</dcterms:created>
  <dcterms:modified xsi:type="dcterms:W3CDTF">2026-02-11T21:41:45Z</dcterms:modified>
</cp:coreProperties>
</file>